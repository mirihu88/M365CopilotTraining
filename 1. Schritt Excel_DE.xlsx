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biagroup-my.sharepoint.com/personal/miriam_hunger_xebia_com/Documents/Copilot Trainings/Excel/"/>
    </mc:Choice>
  </mc:AlternateContent>
  <xr:revisionPtr revIDLastSave="136" documentId="8_{86488F95-F44A-0947-BAE8-EBE6F42EE617}" xr6:coauthVersionLast="47" xr6:coauthVersionMax="47" xr10:uidLastSave="{C7CD013D-3E0D-9944-AE84-0413BBA6D3FF}"/>
  <bookViews>
    <workbookView xWindow="0" yWindow="500" windowWidth="38400" windowHeight="21100" activeTab="1" xr2:uid="{262CAE80-409E-654E-876F-44086E753A62}"/>
  </bookViews>
  <sheets>
    <sheet name="Tabelle1" sheetId="1" r:id="rId1"/>
    <sheet name="Q1 Sales Data" sheetId="2" r:id="rId2"/>
    <sheet name="Stand-up Erkenntniss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" i="2" l="1"/>
  <c r="M6" i="2"/>
  <c r="M4" i="2"/>
  <c r="M3" i="2"/>
  <c r="M2" i="2"/>
  <c r="C14" i="4" a="1"/>
  <c r="C13" i="4" a="1"/>
  <c r="C12" i="4" a="1"/>
  <c r="B14" i="4" a="1"/>
  <c r="B13" i="4" a="1"/>
  <c r="B12" i="4" a="1"/>
  <c r="B20" i="4"/>
  <c r="B19" i="4"/>
  <c r="B18" i="4"/>
  <c r="C8" i="4"/>
  <c r="C7" i="4"/>
  <c r="C6" i="4"/>
  <c r="B8" i="4"/>
  <c r="B7" i="4"/>
  <c r="B6" i="4"/>
  <c r="J3" i="2"/>
  <c r="J4" i="2"/>
  <c r="J48" i="2"/>
  <c r="J6" i="2"/>
  <c r="J7" i="2"/>
  <c r="J95" i="2"/>
  <c r="J9" i="2"/>
  <c r="J10" i="2"/>
  <c r="J11" i="2"/>
  <c r="J12" i="2"/>
  <c r="J13" i="2"/>
  <c r="J5" i="2"/>
  <c r="J8" i="2"/>
  <c r="J102" i="2"/>
  <c r="J17" i="2"/>
  <c r="J18" i="2"/>
  <c r="J14" i="2"/>
  <c r="J20" i="2"/>
  <c r="J21" i="2"/>
  <c r="J22" i="2"/>
  <c r="J23" i="2"/>
  <c r="J24" i="2"/>
  <c r="J25" i="2"/>
  <c r="J26" i="2"/>
  <c r="J27" i="2"/>
  <c r="J50" i="2"/>
  <c r="J106" i="2"/>
  <c r="J30" i="2"/>
  <c r="J31" i="2"/>
  <c r="J120" i="2"/>
  <c r="J33" i="2"/>
  <c r="J34" i="2"/>
  <c r="J35" i="2"/>
  <c r="J36" i="2"/>
  <c r="J37" i="2"/>
  <c r="J38" i="2"/>
  <c r="J39" i="2"/>
  <c r="J40" i="2"/>
  <c r="J41" i="2"/>
  <c r="J42" i="2"/>
  <c r="J133" i="2"/>
  <c r="J15" i="2"/>
  <c r="J45" i="2"/>
  <c r="J46" i="2"/>
  <c r="J47" i="2"/>
  <c r="J52" i="2"/>
  <c r="J49" i="2"/>
  <c r="J56" i="2"/>
  <c r="J51" i="2"/>
  <c r="J136" i="2"/>
  <c r="J53" i="2"/>
  <c r="J54" i="2"/>
  <c r="J55" i="2"/>
  <c r="J137" i="2"/>
  <c r="J57" i="2"/>
  <c r="J16" i="2"/>
  <c r="J59" i="2"/>
  <c r="J58" i="2"/>
  <c r="J61" i="2"/>
  <c r="J62" i="2"/>
  <c r="J63" i="2"/>
  <c r="J64" i="2"/>
  <c r="J65" i="2"/>
  <c r="J60" i="2"/>
  <c r="J139" i="2"/>
  <c r="J68" i="2"/>
  <c r="J66" i="2"/>
  <c r="J70" i="2"/>
  <c r="J19" i="2"/>
  <c r="J72" i="2"/>
  <c r="J73" i="2"/>
  <c r="J74" i="2"/>
  <c r="J75" i="2"/>
  <c r="J76" i="2"/>
  <c r="J77" i="2"/>
  <c r="J78" i="2"/>
  <c r="J143" i="2"/>
  <c r="J80" i="2"/>
  <c r="J145" i="2"/>
  <c r="J82" i="2"/>
  <c r="J83" i="2"/>
  <c r="J148" i="2"/>
  <c r="J85" i="2"/>
  <c r="J86" i="2"/>
  <c r="J87" i="2"/>
  <c r="J88" i="2"/>
  <c r="J67" i="2"/>
  <c r="J90" i="2"/>
  <c r="J91" i="2"/>
  <c r="J92" i="2"/>
  <c r="J93" i="2"/>
  <c r="J153" i="2"/>
  <c r="J156" i="2"/>
  <c r="J96" i="2"/>
  <c r="J97" i="2"/>
  <c r="J98" i="2"/>
  <c r="J99" i="2"/>
  <c r="J100" i="2"/>
  <c r="J101" i="2"/>
  <c r="J69" i="2"/>
  <c r="J103" i="2"/>
  <c r="J104" i="2"/>
  <c r="J105" i="2"/>
  <c r="J71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69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28" i="2"/>
  <c r="J134" i="2"/>
  <c r="J135" i="2"/>
  <c r="J79" i="2"/>
  <c r="J29" i="2"/>
  <c r="J138" i="2"/>
  <c r="J81" i="2"/>
  <c r="J140" i="2"/>
  <c r="J141" i="2"/>
  <c r="J142" i="2"/>
  <c r="J32" i="2"/>
  <c r="J144" i="2"/>
  <c r="J43" i="2"/>
  <c r="J146" i="2"/>
  <c r="J147" i="2"/>
  <c r="J84" i="2"/>
  <c r="J149" i="2"/>
  <c r="J150" i="2"/>
  <c r="J151" i="2"/>
  <c r="J152" i="2"/>
  <c r="J170" i="2"/>
  <c r="J154" i="2"/>
  <c r="J155" i="2"/>
  <c r="J17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77" i="2"/>
  <c r="J178" i="2"/>
  <c r="J171" i="2"/>
  <c r="J172" i="2"/>
  <c r="J173" i="2"/>
  <c r="J174" i="2"/>
  <c r="J175" i="2"/>
  <c r="J180" i="2"/>
  <c r="J89" i="2"/>
  <c r="J183" i="2"/>
  <c r="J179" i="2"/>
  <c r="J44" i="2"/>
  <c r="J181" i="2"/>
  <c r="J182" i="2"/>
  <c r="J197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94" i="2"/>
  <c r="J198" i="2"/>
  <c r="J199" i="2"/>
  <c r="J200" i="2"/>
  <c r="J201" i="2"/>
  <c r="J2" i="2"/>
  <c r="C14" i="4" l="1"/>
  <c r="C13" i="4"/>
  <c r="C12" i="4"/>
  <c r="B14" i="4"/>
  <c r="B13" i="4"/>
  <c r="B1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<sst xmlns="http://schemas.openxmlformats.org/spreadsheetml/2006/main" count="1241" uniqueCount="142">
  <si>
    <t>Marke</t>
  </si>
  <si>
    <t>Modell</t>
  </si>
  <si>
    <t>Kategorie</t>
  </si>
  <si>
    <t>Verkaufte Einheiten</t>
  </si>
  <si>
    <t>Stückpreis</t>
  </si>
  <si>
    <t>Bruttogewinn</t>
  </si>
  <si>
    <t>Verkäufer</t>
  </si>
  <si>
    <t>Standort</t>
  </si>
  <si>
    <t>01.01.2026</t>
  </si>
  <si>
    <t>Volta</t>
  </si>
  <si>
    <t>Scout SUV</t>
  </si>
  <si>
    <t>SUV</t>
  </si>
  <si>
    <t>Lisa Braun</t>
  </si>
  <si>
    <t>Hamburg</t>
  </si>
  <si>
    <t>Meridian</t>
  </si>
  <si>
    <t>Crown SUV</t>
  </si>
  <si>
    <t>Anna Schmidt</t>
  </si>
  <si>
    <t>München</t>
  </si>
  <si>
    <t>Contoso EV</t>
  </si>
  <si>
    <t>Bolt Mini</t>
  </si>
  <si>
    <t>EV</t>
  </si>
  <si>
    <t>Julia Hoffmann</t>
  </si>
  <si>
    <t>Berlin</t>
  </si>
  <si>
    <t>02.01.2026</t>
  </si>
  <si>
    <t>Apex Sport</t>
  </si>
  <si>
    <t>Michael Weber</t>
  </si>
  <si>
    <t>Zürich</t>
  </si>
  <si>
    <t>Markus Wagner</t>
  </si>
  <si>
    <t>Wien</t>
  </si>
  <si>
    <t>03.01.2026</t>
  </si>
  <si>
    <t>Zephyr S</t>
  </si>
  <si>
    <t>Klaus Bauer</t>
  </si>
  <si>
    <t>04.01.2026</t>
  </si>
  <si>
    <t>Prestige Coupé</t>
  </si>
  <si>
    <t>Coupé</t>
  </si>
  <si>
    <t>05.01.2026</t>
  </si>
  <si>
    <t>Edge Pickup</t>
  </si>
  <si>
    <t>Pickup</t>
  </si>
  <si>
    <t>Blaze Sedan</t>
  </si>
  <si>
    <t>Limousine</t>
  </si>
  <si>
    <t>06.01.2026</t>
  </si>
  <si>
    <t>Thomas Müller</t>
  </si>
  <si>
    <t>Apex GT</t>
  </si>
  <si>
    <t>07.01.2026</t>
  </si>
  <si>
    <t>08.01.2026</t>
  </si>
  <si>
    <t>09.01.2026</t>
  </si>
  <si>
    <t>10.01.2026</t>
  </si>
  <si>
    <t>Scout Compact</t>
  </si>
  <si>
    <t>11.01.2026</t>
  </si>
  <si>
    <t>Crown Sedan</t>
  </si>
  <si>
    <t>12.01.2026</t>
  </si>
  <si>
    <t>13.01.2026</t>
  </si>
  <si>
    <t>14.01.2026</t>
  </si>
  <si>
    <t>Luxe Kombi</t>
  </si>
  <si>
    <t>Kombi</t>
  </si>
  <si>
    <t>Zephyr Pro</t>
  </si>
  <si>
    <t>15.01.2026</t>
  </si>
  <si>
    <t>16.01.2026</t>
  </si>
  <si>
    <t>Sarah Fischer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</si>
  <si>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</si>
  <si>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</si>
  <si>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</si>
  <si>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</si>
  <si>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</si>
  <si>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</si>
  <si>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</si>
  <si>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</si>
  <si>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</si>
  <si>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</si>
  <si>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</si>
  <si>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</si>
  <si>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</si>
  <si>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</si>
  <si>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</si>
  <si>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</si>
  <si>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</si>
  <si>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</si>
  <si>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</si>
  <si>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</si>
  <si>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</si>
  <si>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</si>
  <si>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</si>
  <si>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</si>
  <si>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</si>
  <si>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</si>
  <si>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</si>
  <si>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</si>
  <si>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</si>
  <si>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</si>
  <si>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</si>
  <si>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</si>
  <si>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</si>
  <si>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</si>
  <si>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22.02.2026</t>
  </si>
  <si>
    <t>23.02.2026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</si>
  <si>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</si>
  <si>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</si>
  <si>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</si>
  <si>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</si>
  <si>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</si>
  <si>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</si>
  <si>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</si>
  <si>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</si>
  <si>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06.03.2026</t>
  </si>
  <si>
    <t>07.03.2026</t>
  </si>
  <si>
    <t>08.03.2026</t>
  </si>
  <si>
    <t>09.03.2026</t>
  </si>
  <si>
    <t>10.03.2026</t>
  </si>
  <si>
    <t>11.03.2026</t>
  </si>
  <si>
    <t>13.03.2026</t>
  </si>
  <si>
    <t>14.03.2026</t>
  </si>
  <si>
    <t>15.03.2026</t>
  </si>
  <si>
    <t>16.03.2026</t>
  </si>
  <si>
    <t>17.03.2026</t>
  </si>
  <si>
    <t>18.03.2026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</si>
  <si>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</si>
  <si>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</si>
  <si>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</si>
  <si>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</si>
  <si>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</si>
  <si>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</si>
  <si>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</si>
  <si>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29.03.2026</t>
  </si>
  <si>
    <t>Test</t>
  </si>
  <si>
    <t>Premium-Deal</t>
  </si>
  <si>
    <t>📊 Tägliches Stand-up – Q1 2026 Erkenntnisse</t>
  </si>
  <si>
    <t>Stand: 17. April 2026</t>
  </si>
  <si>
    <t>🏆 Erkenntnis 1: Top-Verkäufer nach Umsatz</t>
  </si>
  <si>
    <t>📈 Erkenntnis 2: Monatlicher Umsatztrend</t>
  </si>
  <si>
    <t>Monat</t>
  </si>
  <si>
    <t>Anzahl Verkäufe</t>
  </si>
  <si>
    <t>März 2026</t>
  </si>
  <si>
    <t>💎 Erkenntnis 3: Premium-Deals Performance</t>
  </si>
  <si>
    <t>Metrik</t>
  </si>
  <si>
    <t>Wert</t>
  </si>
  <si>
    <t>Anzahl Premium-Deals</t>
  </si>
  <si>
    <t>Premium-Bruttogewinn</t>
  </si>
  <si>
    <t>Anteil am Gesamtgewinn</t>
  </si>
  <si>
    <t>Top Premium-Modell</t>
  </si>
  <si>
    <t>Contoso EV Apex GT (90.806 €)</t>
  </si>
  <si>
    <t>Gesamtumsatz (Bruttogewinn)</t>
  </si>
  <si>
    <t>Höchster Umsatz: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</si>
</sst>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#,##0\ \€"/>
    <numFmt numFmtId="167" formatCode="0.0%"/>
    <numFmt numFmtId="168" formatCode="#,##0.00\ \€"/>
  </numFmts>
  <fonts count="5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i/>
      <sz val="12"/>
      <color rgb="FF66666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B9B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17" fontId="0" fillId="0" borderId="0" xfId="0" applyNumberFormat="1"/>
    <xf numFmtId="0" fontId="2" fillId="6" borderId="0" xfId="0" applyFont="1" applyFill="1"/>
    <xf numFmtId="0" fontId="1" fillId="7" borderId="0" xfId="0" applyFont="1" applyFill="1"/>
    <xf numFmtId="167" fontId="0" fillId="0" borderId="0" xfId="0" applyNumberFormat="1"/>
    <xf numFmtId="168" fontId="0" fillId="0" borderId="0" xfId="0" applyNumberFormat="1"/>
    <xf numFmtId="168" fontId="2" fillId="3" borderId="0" xfId="0" applyNumberFormat="1" applyFont="1" applyFill="1"/>
  </cellXfs>
  <cellStyles count="1">
    <cellStyle name="Standard" xfId="0" builtinId="0"/>
  </cellStyles>
  <dxfs count="6"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numFmt numFmtId="165" formatCode="#,##0\ \€"/>
    </dxf>
    <dxf>
      <numFmt numFmtId="165" formatCode="#,##0\ \€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B5155-6046-E34A-9D87-CB6E93966BB6}" name="Q1SalesData" displayName="Q1SalesData" ref="A1:J201" totalsRowShown="0" headerRowDxfId="5">
  <autoFilter ref="A1:J201" xr:uid="{231B5155-6046-E34A-9D87-CB6E93966BB6}"/>
  <tableColumns count="10">
    <tableColumn id="1" xr3:uid="{C29C95B2-E32B-4543-8AAE-6D3CD316EDFA}" name="Test" dataDxfId="4"/>
    <tableColumn id="2" xr3:uid="{6BD89345-D899-3F40-8512-DC6436778797}" name="Marke"/>
    <tableColumn id="3" xr3:uid="{B91C9EFD-2CDE-7A43-9552-15058C5D9FB5}" name="Modell"/>
    <tableColumn id="4" xr3:uid="{46BDBDE9-7A58-BB4B-8556-25E95864965F}" name="Kategorie"/>
    <tableColumn id="5" xr3:uid="{13B60958-FD69-6846-9093-8FC476254FD3}" name="Verkaufte Einheiten"/>
    <tableColumn id="6" xr3:uid="{308BE806-470F-EE4E-92D8-AF11498A2E05}" name="Stückpreis" dataDxfId="3"/>
    <tableColumn id="7" xr3:uid="{1ED0C40A-483C-C84D-9AB1-3B9AA53DC9E8}" name="Bruttogewinn" dataDxfId="2"/>
    <tableColumn id="8" xr3:uid="{3215D3D9-B8B1-A84F-990B-468358FCB46A}" name="Verkäufer"/>
    <tableColumn id="9" xr3:uid="{D8B679DC-7EB0-F34A-9890-C341E7C9AA6D}" name="Standort"/>
    <tableColumn id="10" xr3:uid="{673AE867-FA60-934E-9B3E-22EF9330B8DA}" name="Premium-D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96AE-9D87-3047-9740-4C98F4501019}">
  <dimension ref="A1"/>
  <sheetViews>
    <sheetView workbookViewId="0">
      <selection activeCell="H13" sqref="H13"/>
    </sheetView>
  </sheetViews>
  <sheetFormatPr baseColWidth="10" defaultRowHeight="16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BE2A-0581-B543-9CFC-FC1A8AB0D72B}">
  <dimension ref="A1:N201"/>
  <sheetViews>
    <sheetView tabSelected="1" workbookViewId="0">
      <selection activeCell="M94" sqref="M94"/>
    </sheetView>
  </sheetViews>
  <sheetFormatPr baseColWidth="10" defaultRowHeight="16" x14ac:dyDescent="0.2"/>
  <cols>
    <col min="1" max="1" width="10.1640625" bestFit="1" customWidth="1"/>
    <col min="2" max="2" width="10.33203125" bestFit="1" customWidth="1"/>
    <col min="3" max="3" width="13.6640625" bestFit="1" customWidth="1"/>
    <col min="4" max="4" width="11.6640625" bestFit="1" customWidth="1"/>
    <col min="5" max="5" width="20" bestFit="1" customWidth="1"/>
    <col min="6" max="6" width="12.5" bestFit="1" customWidth="1"/>
    <col min="7" max="7" width="14.6640625" bestFit="1" customWidth="1"/>
    <col min="8" max="8" width="13.5" bestFit="1" customWidth="1"/>
    <col min="9" max="9" width="10.6640625" bestFit="1" customWidth="1"/>
    <col min="12" max="12" width="16" bestFit="1" customWidth="1"/>
    <col min="13" max="13" width="27.1640625" bestFit="1" customWidth="1"/>
    <col min="14" max="14" width="8.33203125" bestFit="1" customWidth="1"/>
  </cols>
  <sheetData>
    <row r="1" spans="1:14" x14ac:dyDescent="0.2">
      <c r="A1" s="1" t="s">
        <v>123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124</v>
      </c>
      <c r="L1" s="1" t="s">
        <v>0</v>
      </c>
      <c r="M1" s="1" t="s">
        <v>140</v>
      </c>
    </row>
    <row r="2" spans="1:14" x14ac:dyDescent="0.2">
      <c r="A2" s="2" t="s">
        <v>8</v>
      </c>
      <c r="B2" t="s">
        <v>9</v>
      </c>
      <c r="C2" t="s">
        <v>10</v>
      </c>
      <c r="D2" t="s">
        <v>11</v>
      </c>
      <c r="E2">
        <v>4</v>
      </c>
      <c r="F2" s="3">
        <v>40297</v>
      </c>
      <c r="G2" s="3">
        <v>17731</v>
      </c>
      <c r="H2" t="s">
        <v>12</v>
      </c>
      <c r="I2" t="s">
        <v>13</v>
      </c>
      <c r="J2" t="b">
        <f>OR(D2="Coupé",F2&gt;=70000)</f>
        <v>0</v>
      </c>
      <c r="L2" t="s">
        <v>18</v>
      </c>
      <c r="M2" s="13">
        <f>SUMIF(B:B,L2,G:G)</f>
        <v>1137437</v>
      </c>
    </row>
    <row r="3" spans="1:14" x14ac:dyDescent="0.2">
      <c r="A3" s="2" t="s">
        <v>8</v>
      </c>
      <c r="B3" t="s">
        <v>14</v>
      </c>
      <c r="C3" t="s">
        <v>15</v>
      </c>
      <c r="D3" t="s">
        <v>11</v>
      </c>
      <c r="E3">
        <v>1</v>
      </c>
      <c r="F3" s="3">
        <v>65856</v>
      </c>
      <c r="G3" s="3">
        <v>5268</v>
      </c>
      <c r="H3" t="s">
        <v>16</v>
      </c>
      <c r="I3" t="s">
        <v>17</v>
      </c>
      <c r="J3" t="b">
        <f t="shared" ref="J3:J66" si="0">OR(D3="Coupé",F3&gt;=70000)</f>
        <v>0</v>
      </c>
      <c r="L3" t="s">
        <v>14</v>
      </c>
      <c r="M3" s="13">
        <f>SUMIF(B:B,L3,G:G)</f>
        <v>1474685</v>
      </c>
    </row>
    <row r="4" spans="1:14" x14ac:dyDescent="0.2">
      <c r="A4" s="2" t="s">
        <v>8</v>
      </c>
      <c r="B4" t="s">
        <v>18</v>
      </c>
      <c r="C4" t="s">
        <v>19</v>
      </c>
      <c r="D4" t="s">
        <v>20</v>
      </c>
      <c r="E4">
        <v>2</v>
      </c>
      <c r="F4" s="3">
        <v>29337</v>
      </c>
      <c r="G4" s="3">
        <v>4694</v>
      </c>
      <c r="H4" t="s">
        <v>21</v>
      </c>
      <c r="I4" t="s">
        <v>22</v>
      </c>
      <c r="J4" t="b">
        <f t="shared" si="0"/>
        <v>0</v>
      </c>
      <c r="L4" t="s">
        <v>9</v>
      </c>
      <c r="M4" s="13">
        <f>SUMIF(B:B,L4,G:G)</f>
        <v>957407</v>
      </c>
    </row>
    <row r="5" spans="1:14" x14ac:dyDescent="0.2">
      <c r="A5" s="2" t="s">
        <v>40</v>
      </c>
      <c r="B5" t="s">
        <v>18</v>
      </c>
      <c r="C5" t="s">
        <v>42</v>
      </c>
      <c r="D5" t="s">
        <v>20</v>
      </c>
      <c r="E5">
        <v>1</v>
      </c>
      <c r="F5" s="3">
        <v>90806</v>
      </c>
      <c r="G5" s="3">
        <v>8173</v>
      </c>
      <c r="H5" t="s">
        <v>25</v>
      </c>
      <c r="I5" t="s">
        <v>17</v>
      </c>
      <c r="J5" t="b">
        <f>OR(D5="Coupé",F5&gt;=70000)</f>
        <v>1</v>
      </c>
    </row>
    <row r="6" spans="1:14" x14ac:dyDescent="0.2">
      <c r="A6" s="2" t="s">
        <v>23</v>
      </c>
      <c r="B6" t="s">
        <v>9</v>
      </c>
      <c r="C6" t="s">
        <v>10</v>
      </c>
      <c r="D6" t="s">
        <v>11</v>
      </c>
      <c r="E6">
        <v>4</v>
      </c>
      <c r="F6" s="3">
        <v>40297</v>
      </c>
      <c r="G6" s="3">
        <v>20954</v>
      </c>
      <c r="H6" t="s">
        <v>27</v>
      </c>
      <c r="I6" t="s">
        <v>28</v>
      </c>
      <c r="J6" t="b">
        <f>OR(D6="Coupé",F6&gt;=70000)</f>
        <v>0</v>
      </c>
      <c r="L6" s="6" t="s">
        <v>141</v>
      </c>
      <c r="M6" s="14">
        <f>MAX(M2:M4)</f>
        <v>1474685</v>
      </c>
      <c r="N6" s="6" t="str">
        <f>INDEX(L2:L4,MATCH(M6,M2:M4,0))</f>
        <v>Meridian</v>
      </c>
    </row>
    <row r="7" spans="1:14" x14ac:dyDescent="0.2">
      <c r="A7" s="2" t="s">
        <v>29</v>
      </c>
      <c r="B7" t="s">
        <v>18</v>
      </c>
      <c r="C7" t="s">
        <v>30</v>
      </c>
      <c r="D7" t="s">
        <v>20</v>
      </c>
      <c r="E7">
        <v>2</v>
      </c>
      <c r="F7" s="3">
        <v>44333</v>
      </c>
      <c r="G7" s="3">
        <v>11527</v>
      </c>
      <c r="H7" t="s">
        <v>31</v>
      </c>
      <c r="I7" t="s">
        <v>13</v>
      </c>
      <c r="J7" t="b">
        <f>OR(D7="Coupé",F7&gt;=70000)</f>
        <v>0</v>
      </c>
    </row>
    <row r="8" spans="1:14" x14ac:dyDescent="0.2">
      <c r="A8" s="2" t="s">
        <v>43</v>
      </c>
      <c r="B8" t="s">
        <v>18</v>
      </c>
      <c r="C8" t="s">
        <v>42</v>
      </c>
      <c r="D8" t="s">
        <v>20</v>
      </c>
      <c r="E8">
        <v>1</v>
      </c>
      <c r="F8" s="3">
        <v>90806</v>
      </c>
      <c r="G8" s="3">
        <v>8173</v>
      </c>
      <c r="H8" t="s">
        <v>25</v>
      </c>
      <c r="I8" t="s">
        <v>22</v>
      </c>
      <c r="J8" t="b">
        <f>OR(D8="Coupé",F8&gt;=70000)</f>
        <v>1</v>
      </c>
    </row>
    <row r="9" spans="1:14" x14ac:dyDescent="0.2">
      <c r="A9" s="2" t="s">
        <v>35</v>
      </c>
      <c r="B9" t="s">
        <v>9</v>
      </c>
      <c r="C9" t="s">
        <v>36</v>
      </c>
      <c r="D9" t="s">
        <v>37</v>
      </c>
      <c r="E9">
        <v>1</v>
      </c>
      <c r="F9" s="3">
        <v>48548</v>
      </c>
      <c r="G9" s="3">
        <v>6797</v>
      </c>
      <c r="H9" t="s">
        <v>21</v>
      </c>
      <c r="I9" t="s">
        <v>13</v>
      </c>
      <c r="J9" t="b">
        <f>OR(D9="Coupé",F9&gt;=70000)</f>
        <v>0</v>
      </c>
    </row>
    <row r="10" spans="1:14" x14ac:dyDescent="0.2">
      <c r="A10" s="2" t="s">
        <v>35</v>
      </c>
      <c r="B10" t="s">
        <v>18</v>
      </c>
      <c r="C10" t="s">
        <v>19</v>
      </c>
      <c r="D10" t="s">
        <v>20</v>
      </c>
      <c r="E10">
        <v>1</v>
      </c>
      <c r="F10" s="3">
        <v>29337</v>
      </c>
      <c r="G10" s="3">
        <v>2347</v>
      </c>
      <c r="H10" t="s">
        <v>31</v>
      </c>
      <c r="I10" t="s">
        <v>22</v>
      </c>
      <c r="J10" t="b">
        <f>OR(D10="Coupé",F10&gt;=70000)</f>
        <v>0</v>
      </c>
    </row>
    <row r="11" spans="1:14" x14ac:dyDescent="0.2">
      <c r="A11" s="2" t="s">
        <v>35</v>
      </c>
      <c r="B11" t="s">
        <v>9</v>
      </c>
      <c r="C11" t="s">
        <v>38</v>
      </c>
      <c r="D11" t="s">
        <v>39</v>
      </c>
      <c r="E11">
        <v>3</v>
      </c>
      <c r="F11" s="3">
        <v>35410</v>
      </c>
      <c r="G11" s="3">
        <v>11685</v>
      </c>
      <c r="H11" t="s">
        <v>12</v>
      </c>
      <c r="I11" t="s">
        <v>22</v>
      </c>
      <c r="J11" t="b">
        <f>OR(D11="Coupé",F11&gt;=70000)</f>
        <v>0</v>
      </c>
    </row>
    <row r="12" spans="1:14" x14ac:dyDescent="0.2">
      <c r="A12" s="2" t="s">
        <v>40</v>
      </c>
      <c r="B12" t="s">
        <v>18</v>
      </c>
      <c r="C12" t="s">
        <v>30</v>
      </c>
      <c r="D12" t="s">
        <v>20</v>
      </c>
      <c r="E12">
        <v>1</v>
      </c>
      <c r="F12" s="3">
        <v>44333</v>
      </c>
      <c r="G12" s="3">
        <v>5763</v>
      </c>
      <c r="H12" t="s">
        <v>41</v>
      </c>
      <c r="I12" t="s">
        <v>17</v>
      </c>
      <c r="J12" t="b">
        <f>OR(D12="Coupé",F12&gt;=70000)</f>
        <v>0</v>
      </c>
    </row>
    <row r="13" spans="1:14" x14ac:dyDescent="0.2">
      <c r="A13" s="2" t="s">
        <v>40</v>
      </c>
      <c r="B13" t="s">
        <v>14</v>
      </c>
      <c r="C13" t="s">
        <v>15</v>
      </c>
      <c r="D13" t="s">
        <v>11</v>
      </c>
      <c r="E13">
        <v>3</v>
      </c>
      <c r="F13" s="3">
        <v>65856</v>
      </c>
      <c r="G13" s="3">
        <v>25684</v>
      </c>
      <c r="H13" t="s">
        <v>25</v>
      </c>
      <c r="I13" t="s">
        <v>22</v>
      </c>
      <c r="J13" t="b">
        <f>OR(D13="Coupé",F13&gt;=70000)</f>
        <v>0</v>
      </c>
    </row>
    <row r="14" spans="1:14" x14ac:dyDescent="0.2">
      <c r="A14" s="2" t="s">
        <v>46</v>
      </c>
      <c r="B14" t="s">
        <v>18</v>
      </c>
      <c r="C14" t="s">
        <v>42</v>
      </c>
      <c r="D14" t="s">
        <v>20</v>
      </c>
      <c r="E14">
        <v>3</v>
      </c>
      <c r="F14" s="3">
        <v>90806</v>
      </c>
      <c r="G14" s="3">
        <v>32690</v>
      </c>
      <c r="H14" t="s">
        <v>25</v>
      </c>
      <c r="I14" t="s">
        <v>13</v>
      </c>
      <c r="J14" t="b">
        <f>OR(D14="Coupé",F14&gt;=70000)</f>
        <v>1</v>
      </c>
    </row>
    <row r="15" spans="1:14" x14ac:dyDescent="0.2">
      <c r="A15" s="2" t="s">
        <v>60</v>
      </c>
      <c r="B15" t="s">
        <v>18</v>
      </c>
      <c r="C15" t="s">
        <v>42</v>
      </c>
      <c r="D15" t="s">
        <v>20</v>
      </c>
      <c r="E15">
        <v>3</v>
      </c>
      <c r="F15" s="3">
        <v>90806</v>
      </c>
      <c r="G15" s="3">
        <v>24518</v>
      </c>
      <c r="H15" t="s">
        <v>41</v>
      </c>
      <c r="I15" t="s">
        <v>26</v>
      </c>
      <c r="J15" t="b">
        <f>OR(D15="Coupé",F15&gt;=70000)</f>
        <v>1</v>
      </c>
    </row>
    <row r="16" spans="1:14" x14ac:dyDescent="0.2">
      <c r="A16" s="2" t="s">
        <v>67</v>
      </c>
      <c r="B16" t="s">
        <v>18</v>
      </c>
      <c r="C16" t="s">
        <v>42</v>
      </c>
      <c r="D16" t="s">
        <v>20</v>
      </c>
      <c r="E16">
        <v>2</v>
      </c>
      <c r="F16" s="3">
        <v>90806</v>
      </c>
      <c r="G16" s="3">
        <v>18161</v>
      </c>
      <c r="H16" t="s">
        <v>31</v>
      </c>
      <c r="I16" t="s">
        <v>26</v>
      </c>
      <c r="J16" t="b">
        <f>OR(D16="Coupé",F16&gt;=70000)</f>
        <v>1</v>
      </c>
    </row>
    <row r="17" spans="1:10" x14ac:dyDescent="0.2">
      <c r="A17" s="2" t="s">
        <v>45</v>
      </c>
      <c r="B17" t="s">
        <v>9</v>
      </c>
      <c r="C17" t="s">
        <v>36</v>
      </c>
      <c r="D17" t="s">
        <v>37</v>
      </c>
      <c r="E17">
        <v>1</v>
      </c>
      <c r="F17" s="3">
        <v>48548</v>
      </c>
      <c r="G17" s="3">
        <v>6311</v>
      </c>
      <c r="H17" t="s">
        <v>12</v>
      </c>
      <c r="I17" t="s">
        <v>22</v>
      </c>
      <c r="J17" t="b">
        <f>OR(D17="Coupé",F17&gt;=70000)</f>
        <v>0</v>
      </c>
    </row>
    <row r="18" spans="1:10" x14ac:dyDescent="0.2">
      <c r="A18" s="2" t="s">
        <v>45</v>
      </c>
      <c r="B18" t="s">
        <v>9</v>
      </c>
      <c r="C18" t="s">
        <v>36</v>
      </c>
      <c r="D18" t="s">
        <v>37</v>
      </c>
      <c r="E18">
        <v>4</v>
      </c>
      <c r="F18" s="3">
        <v>48548</v>
      </c>
      <c r="G18" s="3">
        <v>23303</v>
      </c>
      <c r="H18" t="s">
        <v>31</v>
      </c>
      <c r="I18" t="s">
        <v>17</v>
      </c>
      <c r="J18" t="b">
        <f>OR(D18="Coupé",F18&gt;=70000)</f>
        <v>0</v>
      </c>
    </row>
    <row r="19" spans="1:10" x14ac:dyDescent="0.2">
      <c r="A19" s="2" t="s">
        <v>70</v>
      </c>
      <c r="B19" t="s">
        <v>18</v>
      </c>
      <c r="C19" t="s">
        <v>42</v>
      </c>
      <c r="D19" t="s">
        <v>20</v>
      </c>
      <c r="E19">
        <v>2</v>
      </c>
      <c r="F19" s="3">
        <v>90806</v>
      </c>
      <c r="G19" s="3">
        <v>18161</v>
      </c>
      <c r="H19" t="s">
        <v>27</v>
      </c>
      <c r="I19" t="s">
        <v>26</v>
      </c>
      <c r="J19" t="b">
        <f>OR(D19="Coupé",F19&gt;=70000)</f>
        <v>1</v>
      </c>
    </row>
    <row r="20" spans="1:10" x14ac:dyDescent="0.2">
      <c r="A20" s="2" t="s">
        <v>46</v>
      </c>
      <c r="B20" t="s">
        <v>9</v>
      </c>
      <c r="C20" t="s">
        <v>10</v>
      </c>
      <c r="D20" t="s">
        <v>11</v>
      </c>
      <c r="E20">
        <v>4</v>
      </c>
      <c r="F20" s="3">
        <v>40297</v>
      </c>
      <c r="G20" s="3">
        <v>17731</v>
      </c>
      <c r="H20" t="s">
        <v>41</v>
      </c>
      <c r="I20" t="s">
        <v>22</v>
      </c>
      <c r="J20" t="b">
        <f>OR(D20="Coupé",F20&gt;=70000)</f>
        <v>0</v>
      </c>
    </row>
    <row r="21" spans="1:10" x14ac:dyDescent="0.2">
      <c r="A21" s="2" t="s">
        <v>46</v>
      </c>
      <c r="B21" t="s">
        <v>18</v>
      </c>
      <c r="C21" t="s">
        <v>30</v>
      </c>
      <c r="D21" t="s">
        <v>20</v>
      </c>
      <c r="E21">
        <v>3</v>
      </c>
      <c r="F21" s="3">
        <v>44333</v>
      </c>
      <c r="G21" s="3">
        <v>13300</v>
      </c>
      <c r="H21" t="s">
        <v>41</v>
      </c>
      <c r="I21" t="s">
        <v>26</v>
      </c>
      <c r="J21" t="b">
        <f>OR(D21="Coupé",F21&gt;=70000)</f>
        <v>0</v>
      </c>
    </row>
    <row r="22" spans="1:10" x14ac:dyDescent="0.2">
      <c r="A22" s="2" t="s">
        <v>46</v>
      </c>
      <c r="B22" t="s">
        <v>9</v>
      </c>
      <c r="C22" t="s">
        <v>47</v>
      </c>
      <c r="D22" t="s">
        <v>11</v>
      </c>
      <c r="E22">
        <v>4</v>
      </c>
      <c r="F22" s="3">
        <v>35886</v>
      </c>
      <c r="G22" s="3">
        <v>12919</v>
      </c>
      <c r="H22" t="s">
        <v>25</v>
      </c>
      <c r="I22" t="s">
        <v>28</v>
      </c>
      <c r="J22" t="b">
        <f>OR(D22="Coupé",F22&gt;=70000)</f>
        <v>0</v>
      </c>
    </row>
    <row r="23" spans="1:10" x14ac:dyDescent="0.2">
      <c r="A23" s="2" t="s">
        <v>48</v>
      </c>
      <c r="B23" t="s">
        <v>14</v>
      </c>
      <c r="C23" t="s">
        <v>49</v>
      </c>
      <c r="D23" t="s">
        <v>39</v>
      </c>
      <c r="E23">
        <v>4</v>
      </c>
      <c r="F23" s="3">
        <v>52969</v>
      </c>
      <c r="G23" s="3">
        <v>16950</v>
      </c>
      <c r="H23" t="s">
        <v>31</v>
      </c>
      <c r="I23" t="s">
        <v>28</v>
      </c>
      <c r="J23" t="b">
        <f>OR(D23="Coupé",F23&gt;=70000)</f>
        <v>0</v>
      </c>
    </row>
    <row r="24" spans="1:10" x14ac:dyDescent="0.2">
      <c r="A24" s="2" t="s">
        <v>48</v>
      </c>
      <c r="B24" t="s">
        <v>18</v>
      </c>
      <c r="C24" t="s">
        <v>30</v>
      </c>
      <c r="D24" t="s">
        <v>20</v>
      </c>
      <c r="E24">
        <v>2</v>
      </c>
      <c r="F24" s="3">
        <v>44333</v>
      </c>
      <c r="G24" s="3">
        <v>10640</v>
      </c>
      <c r="H24" t="s">
        <v>16</v>
      </c>
      <c r="I24" t="s">
        <v>28</v>
      </c>
      <c r="J24" t="b">
        <f>OR(D24="Coupé",F24&gt;=70000)</f>
        <v>0</v>
      </c>
    </row>
    <row r="25" spans="1:10" x14ac:dyDescent="0.2">
      <c r="A25" s="2" t="s">
        <v>50</v>
      </c>
      <c r="B25" t="s">
        <v>14</v>
      </c>
      <c r="C25" t="s">
        <v>15</v>
      </c>
      <c r="D25" t="s">
        <v>11</v>
      </c>
      <c r="E25">
        <v>2</v>
      </c>
      <c r="F25" s="3">
        <v>65856</v>
      </c>
      <c r="G25" s="3">
        <v>11854</v>
      </c>
      <c r="H25" t="s">
        <v>25</v>
      </c>
      <c r="I25" t="s">
        <v>17</v>
      </c>
      <c r="J25" t="b">
        <f>OR(D25="Coupé",F25&gt;=70000)</f>
        <v>0</v>
      </c>
    </row>
    <row r="26" spans="1:10" x14ac:dyDescent="0.2">
      <c r="A26" s="2" t="s">
        <v>50</v>
      </c>
      <c r="B26" t="s">
        <v>14</v>
      </c>
      <c r="C26" t="s">
        <v>15</v>
      </c>
      <c r="D26" t="s">
        <v>11</v>
      </c>
      <c r="E26">
        <v>4</v>
      </c>
      <c r="F26" s="3">
        <v>65856</v>
      </c>
      <c r="G26" s="3">
        <v>26342</v>
      </c>
      <c r="H26" t="s">
        <v>27</v>
      </c>
      <c r="I26" t="s">
        <v>17</v>
      </c>
      <c r="J26" t="b">
        <f>OR(D26="Coupé",F26&gt;=70000)</f>
        <v>0</v>
      </c>
    </row>
    <row r="27" spans="1:10" x14ac:dyDescent="0.2">
      <c r="A27" s="2" t="s">
        <v>51</v>
      </c>
      <c r="B27" t="s">
        <v>9</v>
      </c>
      <c r="C27" t="s">
        <v>36</v>
      </c>
      <c r="D27" t="s">
        <v>37</v>
      </c>
      <c r="E27">
        <v>1</v>
      </c>
      <c r="F27" s="3">
        <v>48548</v>
      </c>
      <c r="G27" s="3">
        <v>5340</v>
      </c>
      <c r="H27" t="s">
        <v>16</v>
      </c>
      <c r="I27" t="s">
        <v>13</v>
      </c>
      <c r="J27" t="b">
        <f>OR(D27="Coupé",F27&gt;=70000)</f>
        <v>0</v>
      </c>
    </row>
    <row r="28" spans="1:10" x14ac:dyDescent="0.2">
      <c r="A28" s="2" t="s">
        <v>95</v>
      </c>
      <c r="B28" t="s">
        <v>18</v>
      </c>
      <c r="C28" t="s">
        <v>42</v>
      </c>
      <c r="D28" t="s">
        <v>20</v>
      </c>
      <c r="E28">
        <v>3</v>
      </c>
      <c r="F28" s="3">
        <v>90806</v>
      </c>
      <c r="G28" s="3">
        <v>32690</v>
      </c>
      <c r="H28" t="s">
        <v>31</v>
      </c>
      <c r="I28" t="s">
        <v>26</v>
      </c>
      <c r="J28" t="b">
        <f>OR(D28="Coupé",F28&gt;=70000)</f>
        <v>1</v>
      </c>
    </row>
    <row r="29" spans="1:10" x14ac:dyDescent="0.2">
      <c r="A29" s="2" t="s">
        <v>97</v>
      </c>
      <c r="B29" t="s">
        <v>18</v>
      </c>
      <c r="C29" t="s">
        <v>42</v>
      </c>
      <c r="D29" t="s">
        <v>20</v>
      </c>
      <c r="E29">
        <v>4</v>
      </c>
      <c r="F29" s="3">
        <v>90806</v>
      </c>
      <c r="G29" s="3">
        <v>43587</v>
      </c>
      <c r="H29" t="s">
        <v>12</v>
      </c>
      <c r="I29" t="s">
        <v>22</v>
      </c>
      <c r="J29" t="b">
        <f>OR(D29="Coupé",F29&gt;=70000)</f>
        <v>1</v>
      </c>
    </row>
    <row r="30" spans="1:10" x14ac:dyDescent="0.2">
      <c r="A30" s="2" t="s">
        <v>52</v>
      </c>
      <c r="B30" t="s">
        <v>14</v>
      </c>
      <c r="C30" t="s">
        <v>53</v>
      </c>
      <c r="D30" t="s">
        <v>54</v>
      </c>
      <c r="E30">
        <v>3</v>
      </c>
      <c r="F30" s="3">
        <v>49101</v>
      </c>
      <c r="G30" s="3">
        <v>19149</v>
      </c>
      <c r="H30" t="s">
        <v>27</v>
      </c>
      <c r="I30" t="s">
        <v>13</v>
      </c>
      <c r="J30" t="b">
        <f>OR(D30="Coupé",F30&gt;=70000)</f>
        <v>0</v>
      </c>
    </row>
    <row r="31" spans="1:10" x14ac:dyDescent="0.2">
      <c r="A31" s="2" t="s">
        <v>52</v>
      </c>
      <c r="B31" t="s">
        <v>18</v>
      </c>
      <c r="C31" t="s">
        <v>55</v>
      </c>
      <c r="D31" t="s">
        <v>20</v>
      </c>
      <c r="E31">
        <v>2</v>
      </c>
      <c r="F31" s="3">
        <v>61219</v>
      </c>
      <c r="G31" s="3">
        <v>13468</v>
      </c>
      <c r="H31" t="s">
        <v>16</v>
      </c>
      <c r="I31" t="s">
        <v>26</v>
      </c>
      <c r="J31" t="b">
        <f>OR(D31="Coupé",F31&gt;=70000)</f>
        <v>0</v>
      </c>
    </row>
    <row r="32" spans="1:10" x14ac:dyDescent="0.2">
      <c r="A32" s="2" t="s">
        <v>100</v>
      </c>
      <c r="B32" t="s">
        <v>18</v>
      </c>
      <c r="C32" t="s">
        <v>42</v>
      </c>
      <c r="D32" t="s">
        <v>20</v>
      </c>
      <c r="E32">
        <v>2</v>
      </c>
      <c r="F32" s="3">
        <v>90806</v>
      </c>
      <c r="G32" s="3">
        <v>23610</v>
      </c>
      <c r="H32" t="s">
        <v>31</v>
      </c>
      <c r="I32" t="s">
        <v>28</v>
      </c>
      <c r="J32" t="b">
        <f>OR(D32="Coupé",F32&gt;=70000)</f>
        <v>1</v>
      </c>
    </row>
    <row r="33" spans="1:10" x14ac:dyDescent="0.2">
      <c r="A33" s="2" t="s">
        <v>52</v>
      </c>
      <c r="B33" t="s">
        <v>9</v>
      </c>
      <c r="C33" t="s">
        <v>38</v>
      </c>
      <c r="D33" t="s">
        <v>39</v>
      </c>
      <c r="E33">
        <v>2</v>
      </c>
      <c r="F33" s="3">
        <v>35410</v>
      </c>
      <c r="G33" s="3">
        <v>7082</v>
      </c>
      <c r="H33" t="s">
        <v>31</v>
      </c>
      <c r="I33" t="s">
        <v>26</v>
      </c>
      <c r="J33" t="b">
        <f>OR(D33="Coupé",F33&gt;=70000)</f>
        <v>0</v>
      </c>
    </row>
    <row r="34" spans="1:10" x14ac:dyDescent="0.2">
      <c r="A34" s="2" t="s">
        <v>56</v>
      </c>
      <c r="B34" t="s">
        <v>14</v>
      </c>
      <c r="C34" t="s">
        <v>53</v>
      </c>
      <c r="D34" t="s">
        <v>54</v>
      </c>
      <c r="E34">
        <v>1</v>
      </c>
      <c r="F34" s="3">
        <v>49101</v>
      </c>
      <c r="G34" s="3">
        <v>3928</v>
      </c>
      <c r="H34" t="s">
        <v>25</v>
      </c>
      <c r="I34" t="s">
        <v>26</v>
      </c>
      <c r="J34" t="b">
        <f>OR(D34="Coupé",F34&gt;=70000)</f>
        <v>0</v>
      </c>
    </row>
    <row r="35" spans="1:10" x14ac:dyDescent="0.2">
      <c r="A35" s="2" t="s">
        <v>57</v>
      </c>
      <c r="B35" t="s">
        <v>14</v>
      </c>
      <c r="C35" t="s">
        <v>49</v>
      </c>
      <c r="D35" t="s">
        <v>39</v>
      </c>
      <c r="E35">
        <v>4</v>
      </c>
      <c r="F35" s="3">
        <v>52969</v>
      </c>
      <c r="G35" s="3">
        <v>31781</v>
      </c>
      <c r="H35" t="s">
        <v>12</v>
      </c>
      <c r="I35" t="s">
        <v>17</v>
      </c>
      <c r="J35" t="b">
        <f>OR(D35="Coupé",F35&gt;=70000)</f>
        <v>0</v>
      </c>
    </row>
    <row r="36" spans="1:10" x14ac:dyDescent="0.2">
      <c r="A36" s="2" t="s">
        <v>57</v>
      </c>
      <c r="B36" t="s">
        <v>9</v>
      </c>
      <c r="C36" t="s">
        <v>47</v>
      </c>
      <c r="D36" t="s">
        <v>11</v>
      </c>
      <c r="E36">
        <v>3</v>
      </c>
      <c r="F36" s="3">
        <v>35886</v>
      </c>
      <c r="G36" s="3">
        <v>16149</v>
      </c>
      <c r="H36" t="s">
        <v>27</v>
      </c>
      <c r="I36" t="s">
        <v>13</v>
      </c>
      <c r="J36" t="b">
        <f>OR(D36="Coupé",F36&gt;=70000)</f>
        <v>0</v>
      </c>
    </row>
    <row r="37" spans="1:10" x14ac:dyDescent="0.2">
      <c r="A37" s="2" t="s">
        <v>57</v>
      </c>
      <c r="B37" t="s">
        <v>9</v>
      </c>
      <c r="C37" t="s">
        <v>10</v>
      </c>
      <c r="D37" t="s">
        <v>11</v>
      </c>
      <c r="E37">
        <v>1</v>
      </c>
      <c r="F37" s="3">
        <v>40297</v>
      </c>
      <c r="G37" s="3">
        <v>6045</v>
      </c>
      <c r="H37" t="s">
        <v>58</v>
      </c>
      <c r="I37" t="s">
        <v>22</v>
      </c>
      <c r="J37" t="b">
        <f>OR(D37="Coupé",F37&gt;=70000)</f>
        <v>0</v>
      </c>
    </row>
    <row r="38" spans="1:10" x14ac:dyDescent="0.2">
      <c r="A38" s="2" t="s">
        <v>59</v>
      </c>
      <c r="B38" t="s">
        <v>18</v>
      </c>
      <c r="C38" t="s">
        <v>30</v>
      </c>
      <c r="D38" t="s">
        <v>20</v>
      </c>
      <c r="E38">
        <v>3</v>
      </c>
      <c r="F38" s="3">
        <v>44333</v>
      </c>
      <c r="G38" s="3">
        <v>17290</v>
      </c>
      <c r="H38" t="s">
        <v>27</v>
      </c>
      <c r="I38" t="s">
        <v>26</v>
      </c>
      <c r="J38" t="b">
        <f>OR(D38="Coupé",F38&gt;=70000)</f>
        <v>0</v>
      </c>
    </row>
    <row r="39" spans="1:10" x14ac:dyDescent="0.2">
      <c r="A39" s="2" t="s">
        <v>59</v>
      </c>
      <c r="B39" t="s">
        <v>18</v>
      </c>
      <c r="C39" t="s">
        <v>55</v>
      </c>
      <c r="D39" t="s">
        <v>20</v>
      </c>
      <c r="E39">
        <v>4</v>
      </c>
      <c r="F39" s="3">
        <v>61219</v>
      </c>
      <c r="G39" s="3">
        <v>26936</v>
      </c>
      <c r="H39" t="s">
        <v>16</v>
      </c>
      <c r="I39" t="s">
        <v>28</v>
      </c>
      <c r="J39" t="b">
        <f>OR(D39="Coupé",F39&gt;=70000)</f>
        <v>0</v>
      </c>
    </row>
    <row r="40" spans="1:10" x14ac:dyDescent="0.2">
      <c r="A40" s="2" t="s">
        <v>59</v>
      </c>
      <c r="B40" t="s">
        <v>9</v>
      </c>
      <c r="C40" t="s">
        <v>47</v>
      </c>
      <c r="D40" t="s">
        <v>11</v>
      </c>
      <c r="E40">
        <v>3</v>
      </c>
      <c r="F40" s="3">
        <v>35886</v>
      </c>
      <c r="G40" s="3">
        <v>10766</v>
      </c>
      <c r="H40" t="s">
        <v>41</v>
      </c>
      <c r="I40" t="s">
        <v>22</v>
      </c>
      <c r="J40" t="b">
        <f>OR(D40="Coupé",F40&gt;=70000)</f>
        <v>0</v>
      </c>
    </row>
    <row r="41" spans="1:10" x14ac:dyDescent="0.2">
      <c r="A41" s="2" t="s">
        <v>59</v>
      </c>
      <c r="B41" t="s">
        <v>9</v>
      </c>
      <c r="C41" t="s">
        <v>36</v>
      </c>
      <c r="D41" t="s">
        <v>37</v>
      </c>
      <c r="E41">
        <v>1</v>
      </c>
      <c r="F41" s="3">
        <v>48548</v>
      </c>
      <c r="G41" s="3">
        <v>5826</v>
      </c>
      <c r="H41" t="s">
        <v>58</v>
      </c>
      <c r="I41" t="s">
        <v>22</v>
      </c>
      <c r="J41" t="b">
        <f>OR(D41="Coupé",F41&gt;=70000)</f>
        <v>0</v>
      </c>
    </row>
    <row r="42" spans="1:10" x14ac:dyDescent="0.2">
      <c r="A42" s="2" t="s">
        <v>59</v>
      </c>
      <c r="B42" t="s">
        <v>9</v>
      </c>
      <c r="C42" t="s">
        <v>38</v>
      </c>
      <c r="D42" t="s">
        <v>39</v>
      </c>
      <c r="E42">
        <v>1</v>
      </c>
      <c r="F42" s="3">
        <v>35410</v>
      </c>
      <c r="G42" s="3">
        <v>3895</v>
      </c>
      <c r="H42" t="s">
        <v>27</v>
      </c>
      <c r="I42" t="s">
        <v>22</v>
      </c>
      <c r="J42" t="b">
        <f>OR(D42="Coupé",F42&gt;=70000)</f>
        <v>0</v>
      </c>
    </row>
    <row r="43" spans="1:10" x14ac:dyDescent="0.2">
      <c r="A43" s="2" t="s">
        <v>100</v>
      </c>
      <c r="B43" t="s">
        <v>18</v>
      </c>
      <c r="C43" t="s">
        <v>42</v>
      </c>
      <c r="D43" t="s">
        <v>20</v>
      </c>
      <c r="E43">
        <v>1</v>
      </c>
      <c r="F43" s="3">
        <v>90806</v>
      </c>
      <c r="G43" s="3">
        <v>9989</v>
      </c>
      <c r="H43" t="s">
        <v>16</v>
      </c>
      <c r="I43" t="s">
        <v>13</v>
      </c>
      <c r="J43" t="b">
        <f>OR(D43="Coupé",F43&gt;=70000)</f>
        <v>1</v>
      </c>
    </row>
    <row r="44" spans="1:10" x14ac:dyDescent="0.2">
      <c r="A44" s="2" t="s">
        <v>113</v>
      </c>
      <c r="B44" t="s">
        <v>18</v>
      </c>
      <c r="C44" t="s">
        <v>42</v>
      </c>
      <c r="D44" t="s">
        <v>20</v>
      </c>
      <c r="E44">
        <v>4</v>
      </c>
      <c r="F44" s="3">
        <v>90806</v>
      </c>
      <c r="G44" s="3">
        <v>47219</v>
      </c>
      <c r="H44" t="s">
        <v>16</v>
      </c>
      <c r="I44" t="s">
        <v>26</v>
      </c>
      <c r="J44" t="b">
        <f>OR(D44="Coupé",F44&gt;=70000)</f>
        <v>1</v>
      </c>
    </row>
    <row r="45" spans="1:10" x14ac:dyDescent="0.2">
      <c r="A45" s="2" t="s">
        <v>61</v>
      </c>
      <c r="B45" t="s">
        <v>14</v>
      </c>
      <c r="C45" t="s">
        <v>49</v>
      </c>
      <c r="D45" t="s">
        <v>39</v>
      </c>
      <c r="E45">
        <v>2</v>
      </c>
      <c r="F45" s="3">
        <v>52969</v>
      </c>
      <c r="G45" s="3">
        <v>8475</v>
      </c>
      <c r="H45" t="s">
        <v>31</v>
      </c>
      <c r="I45" t="s">
        <v>22</v>
      </c>
      <c r="J45" t="b">
        <f>OR(D45="Coupé",F45&gt;=70000)</f>
        <v>0</v>
      </c>
    </row>
    <row r="46" spans="1:10" x14ac:dyDescent="0.2">
      <c r="A46" s="2" t="s">
        <v>62</v>
      </c>
      <c r="B46" t="s">
        <v>18</v>
      </c>
      <c r="C46" t="s">
        <v>30</v>
      </c>
      <c r="D46" t="s">
        <v>20</v>
      </c>
      <c r="E46">
        <v>1</v>
      </c>
      <c r="F46" s="3">
        <v>44333</v>
      </c>
      <c r="G46" s="3">
        <v>5320</v>
      </c>
      <c r="H46" t="s">
        <v>12</v>
      </c>
      <c r="I46" t="s">
        <v>17</v>
      </c>
      <c r="J46" t="b">
        <f>OR(D46="Coupé",F46&gt;=70000)</f>
        <v>0</v>
      </c>
    </row>
    <row r="47" spans="1:10" x14ac:dyDescent="0.2">
      <c r="A47" s="2" t="s">
        <v>62</v>
      </c>
      <c r="B47" t="s">
        <v>18</v>
      </c>
      <c r="C47" t="s">
        <v>55</v>
      </c>
      <c r="D47" t="s">
        <v>20</v>
      </c>
      <c r="E47">
        <v>3</v>
      </c>
      <c r="F47" s="3">
        <v>61219</v>
      </c>
      <c r="G47" s="3">
        <v>20202</v>
      </c>
      <c r="H47" t="s">
        <v>16</v>
      </c>
      <c r="I47" t="s">
        <v>17</v>
      </c>
      <c r="J47" t="b">
        <f>OR(D47="Coupé",F47&gt;=70000)</f>
        <v>0</v>
      </c>
    </row>
    <row r="48" spans="1:10" x14ac:dyDescent="0.2">
      <c r="A48" s="2" t="s">
        <v>23</v>
      </c>
      <c r="B48" t="s">
        <v>18</v>
      </c>
      <c r="C48" t="s">
        <v>24</v>
      </c>
      <c r="D48" t="s">
        <v>20</v>
      </c>
      <c r="E48">
        <v>3</v>
      </c>
      <c r="F48" s="3">
        <v>81966</v>
      </c>
      <c r="G48" s="3">
        <v>24590</v>
      </c>
      <c r="H48" t="s">
        <v>25</v>
      </c>
      <c r="I48" t="s">
        <v>26</v>
      </c>
      <c r="J48" t="b">
        <f>OR(D48="Coupé",F48&gt;=70000)</f>
        <v>1</v>
      </c>
    </row>
    <row r="49" spans="1:10" x14ac:dyDescent="0.2">
      <c r="A49" s="2" t="s">
        <v>63</v>
      </c>
      <c r="B49" t="s">
        <v>9</v>
      </c>
      <c r="C49" t="s">
        <v>10</v>
      </c>
      <c r="D49" t="s">
        <v>11</v>
      </c>
      <c r="E49">
        <v>3</v>
      </c>
      <c r="F49" s="3">
        <v>40297</v>
      </c>
      <c r="G49" s="3">
        <v>10880</v>
      </c>
      <c r="H49" t="s">
        <v>12</v>
      </c>
      <c r="I49" t="s">
        <v>22</v>
      </c>
      <c r="J49" t="b">
        <f>OR(D49="Coupé",F49&gt;=70000)</f>
        <v>0</v>
      </c>
    </row>
    <row r="50" spans="1:10" x14ac:dyDescent="0.2">
      <c r="A50" s="2" t="s">
        <v>51</v>
      </c>
      <c r="B50" t="s">
        <v>18</v>
      </c>
      <c r="C50" t="s">
        <v>24</v>
      </c>
      <c r="D50" t="s">
        <v>20</v>
      </c>
      <c r="E50">
        <v>4</v>
      </c>
      <c r="F50" s="3">
        <v>81966</v>
      </c>
      <c r="G50" s="3">
        <v>39344</v>
      </c>
      <c r="H50" t="s">
        <v>16</v>
      </c>
      <c r="I50" t="s">
        <v>13</v>
      </c>
      <c r="J50" t="b">
        <f>OR(D50="Coupé",F50&gt;=70000)</f>
        <v>1</v>
      </c>
    </row>
    <row r="51" spans="1:10" x14ac:dyDescent="0.2">
      <c r="A51" s="2" t="s">
        <v>65</v>
      </c>
      <c r="B51" t="s">
        <v>14</v>
      </c>
      <c r="C51" t="s">
        <v>15</v>
      </c>
      <c r="D51" t="s">
        <v>11</v>
      </c>
      <c r="E51">
        <v>1</v>
      </c>
      <c r="F51" s="3">
        <v>65856</v>
      </c>
      <c r="G51" s="3">
        <v>5268</v>
      </c>
      <c r="H51" t="s">
        <v>16</v>
      </c>
      <c r="I51" t="s">
        <v>22</v>
      </c>
      <c r="J51" t="b">
        <f>OR(D51="Coupé",F51&gt;=70000)</f>
        <v>0</v>
      </c>
    </row>
    <row r="52" spans="1:10" x14ac:dyDescent="0.2">
      <c r="A52" s="2" t="s">
        <v>63</v>
      </c>
      <c r="B52" t="s">
        <v>18</v>
      </c>
      <c r="C52" t="s">
        <v>24</v>
      </c>
      <c r="D52" t="s">
        <v>20</v>
      </c>
      <c r="E52">
        <v>4</v>
      </c>
      <c r="F52" s="3">
        <v>81966</v>
      </c>
      <c r="G52" s="3">
        <v>32786</v>
      </c>
      <c r="H52" t="s">
        <v>16</v>
      </c>
      <c r="I52" t="s">
        <v>28</v>
      </c>
      <c r="J52" t="b">
        <f>OR(D52="Coupé",F52&gt;=70000)</f>
        <v>1</v>
      </c>
    </row>
    <row r="53" spans="1:10" x14ac:dyDescent="0.2">
      <c r="A53" s="2" t="s">
        <v>66</v>
      </c>
      <c r="B53" t="s">
        <v>14</v>
      </c>
      <c r="C53" t="s">
        <v>53</v>
      </c>
      <c r="D53" t="s">
        <v>54</v>
      </c>
      <c r="E53">
        <v>2</v>
      </c>
      <c r="F53" s="3">
        <v>49101</v>
      </c>
      <c r="G53" s="3">
        <v>11784</v>
      </c>
      <c r="H53" t="s">
        <v>12</v>
      </c>
      <c r="I53" t="s">
        <v>22</v>
      </c>
      <c r="J53" t="b">
        <f>OR(D53="Coupé",F53&gt;=70000)</f>
        <v>0</v>
      </c>
    </row>
    <row r="54" spans="1:10" x14ac:dyDescent="0.2">
      <c r="A54" s="2" t="s">
        <v>67</v>
      </c>
      <c r="B54" t="s">
        <v>18</v>
      </c>
      <c r="C54" t="s">
        <v>30</v>
      </c>
      <c r="D54" t="s">
        <v>20</v>
      </c>
      <c r="E54">
        <v>1</v>
      </c>
      <c r="F54" s="3">
        <v>44333</v>
      </c>
      <c r="G54" s="3">
        <v>3547</v>
      </c>
      <c r="H54" t="s">
        <v>16</v>
      </c>
      <c r="I54" t="s">
        <v>28</v>
      </c>
      <c r="J54" t="b">
        <f>OR(D54="Coupé",F54&gt;=70000)</f>
        <v>0</v>
      </c>
    </row>
    <row r="55" spans="1:10" x14ac:dyDescent="0.2">
      <c r="A55" s="2" t="s">
        <v>67</v>
      </c>
      <c r="B55" t="s">
        <v>18</v>
      </c>
      <c r="C55" t="s">
        <v>19</v>
      </c>
      <c r="D55" t="s">
        <v>20</v>
      </c>
      <c r="E55">
        <v>4</v>
      </c>
      <c r="F55" s="3">
        <v>29337</v>
      </c>
      <c r="G55" s="3">
        <v>12908</v>
      </c>
      <c r="H55" t="s">
        <v>12</v>
      </c>
      <c r="I55" t="s">
        <v>22</v>
      </c>
      <c r="J55" t="b">
        <f>OR(D55="Coupé",F55&gt;=70000)</f>
        <v>0</v>
      </c>
    </row>
    <row r="56" spans="1:10" x14ac:dyDescent="0.2">
      <c r="A56" s="2" t="s">
        <v>64</v>
      </c>
      <c r="B56" t="s">
        <v>18</v>
      </c>
      <c r="C56" t="s">
        <v>24</v>
      </c>
      <c r="D56" t="s">
        <v>20</v>
      </c>
      <c r="E56">
        <v>1</v>
      </c>
      <c r="F56" s="3">
        <v>81966</v>
      </c>
      <c r="G56" s="3">
        <v>12295</v>
      </c>
      <c r="H56" t="s">
        <v>27</v>
      </c>
      <c r="I56" t="s">
        <v>13</v>
      </c>
      <c r="J56" t="b">
        <f>OR(D56="Coupé",F56&gt;=70000)</f>
        <v>1</v>
      </c>
    </row>
    <row r="57" spans="1:10" x14ac:dyDescent="0.2">
      <c r="A57" s="2" t="s">
        <v>67</v>
      </c>
      <c r="B57" t="s">
        <v>14</v>
      </c>
      <c r="C57" t="s">
        <v>53</v>
      </c>
      <c r="D57" t="s">
        <v>54</v>
      </c>
      <c r="E57">
        <v>3</v>
      </c>
      <c r="F57" s="3">
        <v>49101</v>
      </c>
      <c r="G57" s="3">
        <v>22095</v>
      </c>
      <c r="H57" t="s">
        <v>12</v>
      </c>
      <c r="I57" t="s">
        <v>22</v>
      </c>
      <c r="J57" t="b">
        <f>OR(D57="Coupé",F57&gt;=70000)</f>
        <v>0</v>
      </c>
    </row>
    <row r="58" spans="1:10" x14ac:dyDescent="0.2">
      <c r="A58" s="2" t="s">
        <v>68</v>
      </c>
      <c r="B58" t="s">
        <v>18</v>
      </c>
      <c r="C58" t="s">
        <v>24</v>
      </c>
      <c r="D58" t="s">
        <v>20</v>
      </c>
      <c r="E58">
        <v>3</v>
      </c>
      <c r="F58" s="3">
        <v>81966</v>
      </c>
      <c r="G58" s="3">
        <v>27049</v>
      </c>
      <c r="H58" t="s">
        <v>16</v>
      </c>
      <c r="I58" t="s">
        <v>17</v>
      </c>
      <c r="J58" t="b">
        <f>OR(D58="Coupé",F58&gt;=70000)</f>
        <v>1</v>
      </c>
    </row>
    <row r="59" spans="1:10" x14ac:dyDescent="0.2">
      <c r="A59" s="2" t="s">
        <v>67</v>
      </c>
      <c r="B59" t="s">
        <v>9</v>
      </c>
      <c r="C59" t="s">
        <v>10</v>
      </c>
      <c r="D59" t="s">
        <v>11</v>
      </c>
      <c r="E59">
        <v>1</v>
      </c>
      <c r="F59" s="3">
        <v>40297</v>
      </c>
      <c r="G59" s="3">
        <v>5642</v>
      </c>
      <c r="H59" t="s">
        <v>21</v>
      </c>
      <c r="I59" t="s">
        <v>17</v>
      </c>
      <c r="J59" t="b">
        <f>OR(D59="Coupé",F59&gt;=70000)</f>
        <v>0</v>
      </c>
    </row>
    <row r="60" spans="1:10" x14ac:dyDescent="0.2">
      <c r="A60" s="2" t="s">
        <v>69</v>
      </c>
      <c r="B60" t="s">
        <v>18</v>
      </c>
      <c r="C60" t="s">
        <v>24</v>
      </c>
      <c r="D60" t="s">
        <v>20</v>
      </c>
      <c r="E60">
        <v>4</v>
      </c>
      <c r="F60" s="3">
        <v>81966</v>
      </c>
      <c r="G60" s="3">
        <v>42622</v>
      </c>
      <c r="H60" t="s">
        <v>27</v>
      </c>
      <c r="I60" t="s">
        <v>13</v>
      </c>
      <c r="J60" t="b">
        <f>OR(D60="Coupé",F60&gt;=70000)</f>
        <v>1</v>
      </c>
    </row>
    <row r="61" spans="1:10" x14ac:dyDescent="0.2">
      <c r="A61" s="2" t="s">
        <v>68</v>
      </c>
      <c r="B61" t="s">
        <v>14</v>
      </c>
      <c r="C61" t="s">
        <v>15</v>
      </c>
      <c r="D61" t="s">
        <v>11</v>
      </c>
      <c r="E61">
        <v>3</v>
      </c>
      <c r="F61" s="3">
        <v>65856</v>
      </c>
      <c r="G61" s="3">
        <v>29635</v>
      </c>
      <c r="H61" t="s">
        <v>21</v>
      </c>
      <c r="I61" t="s">
        <v>26</v>
      </c>
      <c r="J61" t="b">
        <f>OR(D61="Coupé",F61&gt;=70000)</f>
        <v>0</v>
      </c>
    </row>
    <row r="62" spans="1:10" x14ac:dyDescent="0.2">
      <c r="A62" s="2" t="s">
        <v>69</v>
      </c>
      <c r="B62" t="s">
        <v>18</v>
      </c>
      <c r="C62" t="s">
        <v>19</v>
      </c>
      <c r="D62" t="s">
        <v>20</v>
      </c>
      <c r="E62">
        <v>1</v>
      </c>
      <c r="F62" s="3">
        <v>29337</v>
      </c>
      <c r="G62" s="3">
        <v>2347</v>
      </c>
      <c r="H62" t="s">
        <v>21</v>
      </c>
      <c r="I62" t="s">
        <v>13</v>
      </c>
      <c r="J62" t="b">
        <f>OR(D62="Coupé",F62&gt;=70000)</f>
        <v>0</v>
      </c>
    </row>
    <row r="63" spans="1:10" x14ac:dyDescent="0.2">
      <c r="A63" s="2" t="s">
        <v>69</v>
      </c>
      <c r="B63" t="s">
        <v>9</v>
      </c>
      <c r="C63" t="s">
        <v>47</v>
      </c>
      <c r="D63" t="s">
        <v>11</v>
      </c>
      <c r="E63">
        <v>2</v>
      </c>
      <c r="F63" s="3">
        <v>35886</v>
      </c>
      <c r="G63" s="3">
        <v>8613</v>
      </c>
      <c r="H63" t="s">
        <v>27</v>
      </c>
      <c r="I63" t="s">
        <v>28</v>
      </c>
      <c r="J63" t="b">
        <f>OR(D63="Coupé",F63&gt;=70000)</f>
        <v>0</v>
      </c>
    </row>
    <row r="64" spans="1:10" x14ac:dyDescent="0.2">
      <c r="A64" s="2" t="s">
        <v>69</v>
      </c>
      <c r="B64" t="s">
        <v>14</v>
      </c>
      <c r="C64" t="s">
        <v>53</v>
      </c>
      <c r="D64" t="s">
        <v>54</v>
      </c>
      <c r="E64">
        <v>3</v>
      </c>
      <c r="F64" s="3">
        <v>49101</v>
      </c>
      <c r="G64" s="3">
        <v>13257</v>
      </c>
      <c r="H64" t="s">
        <v>58</v>
      </c>
      <c r="I64" t="s">
        <v>26</v>
      </c>
      <c r="J64" t="b">
        <f>OR(D64="Coupé",F64&gt;=70000)</f>
        <v>0</v>
      </c>
    </row>
    <row r="65" spans="1:10" x14ac:dyDescent="0.2">
      <c r="A65" s="2" t="s">
        <v>69</v>
      </c>
      <c r="B65" t="s">
        <v>14</v>
      </c>
      <c r="C65" t="s">
        <v>53</v>
      </c>
      <c r="D65" t="s">
        <v>54</v>
      </c>
      <c r="E65">
        <v>4</v>
      </c>
      <c r="F65" s="3">
        <v>49101</v>
      </c>
      <c r="G65" s="3">
        <v>29461</v>
      </c>
      <c r="H65" t="s">
        <v>31</v>
      </c>
      <c r="I65" t="s">
        <v>26</v>
      </c>
      <c r="J65" t="b">
        <f>OR(D65="Coupé",F65&gt;=70000)</f>
        <v>0</v>
      </c>
    </row>
    <row r="66" spans="1:10" x14ac:dyDescent="0.2">
      <c r="A66" s="2" t="s">
        <v>70</v>
      </c>
      <c r="B66" t="s">
        <v>18</v>
      </c>
      <c r="C66" t="s">
        <v>24</v>
      </c>
      <c r="D66" t="s">
        <v>20</v>
      </c>
      <c r="E66">
        <v>1</v>
      </c>
      <c r="F66" s="3">
        <v>81966</v>
      </c>
      <c r="G66" s="3">
        <v>11475</v>
      </c>
      <c r="H66" t="s">
        <v>16</v>
      </c>
      <c r="I66" t="s">
        <v>17</v>
      </c>
      <c r="J66" t="b">
        <f>OR(D66="Coupé",F66&gt;=70000)</f>
        <v>1</v>
      </c>
    </row>
    <row r="67" spans="1:10" x14ac:dyDescent="0.2">
      <c r="A67" s="2" t="s">
        <v>76</v>
      </c>
      <c r="B67" t="s">
        <v>18</v>
      </c>
      <c r="C67" t="s">
        <v>24</v>
      </c>
      <c r="D67" t="s">
        <v>20</v>
      </c>
      <c r="E67">
        <v>3</v>
      </c>
      <c r="F67" s="3">
        <v>81966</v>
      </c>
      <c r="G67" s="3">
        <v>34426</v>
      </c>
      <c r="H67" t="s">
        <v>21</v>
      </c>
      <c r="I67" t="s">
        <v>28</v>
      </c>
      <c r="J67" t="b">
        <f>OR(D67="Coupé",F67&gt;=70000)</f>
        <v>1</v>
      </c>
    </row>
    <row r="68" spans="1:10" x14ac:dyDescent="0.2">
      <c r="A68" s="2" t="s">
        <v>70</v>
      </c>
      <c r="B68" t="s">
        <v>14</v>
      </c>
      <c r="C68" t="s">
        <v>53</v>
      </c>
      <c r="D68" t="s">
        <v>54</v>
      </c>
      <c r="E68">
        <v>3</v>
      </c>
      <c r="F68" s="3">
        <v>49101</v>
      </c>
      <c r="G68" s="3">
        <v>17676</v>
      </c>
      <c r="H68" t="s">
        <v>12</v>
      </c>
      <c r="I68" t="s">
        <v>17</v>
      </c>
      <c r="J68" t="b">
        <f>OR(D68="Coupé",F68&gt;=70000)</f>
        <v>0</v>
      </c>
    </row>
    <row r="69" spans="1:10" x14ac:dyDescent="0.2">
      <c r="A69" s="2" t="s">
        <v>82</v>
      </c>
      <c r="B69" t="s">
        <v>18</v>
      </c>
      <c r="C69" t="s">
        <v>24</v>
      </c>
      <c r="D69" t="s">
        <v>20</v>
      </c>
      <c r="E69">
        <v>2</v>
      </c>
      <c r="F69" s="3">
        <v>81966</v>
      </c>
      <c r="G69" s="3">
        <v>19672</v>
      </c>
      <c r="H69" t="s">
        <v>21</v>
      </c>
      <c r="I69" t="s">
        <v>26</v>
      </c>
      <c r="J69" t="b">
        <f>OR(D69="Coupé",F69&gt;=70000)</f>
        <v>1</v>
      </c>
    </row>
    <row r="70" spans="1:10" x14ac:dyDescent="0.2">
      <c r="A70" s="2" t="s">
        <v>70</v>
      </c>
      <c r="B70" t="s">
        <v>9</v>
      </c>
      <c r="C70" t="s">
        <v>47</v>
      </c>
      <c r="D70" t="s">
        <v>11</v>
      </c>
      <c r="E70">
        <v>3</v>
      </c>
      <c r="F70" s="3">
        <v>35886</v>
      </c>
      <c r="G70" s="3">
        <v>10766</v>
      </c>
      <c r="H70" t="s">
        <v>31</v>
      </c>
      <c r="I70" t="s">
        <v>26</v>
      </c>
      <c r="J70" t="b">
        <f>OR(D70="Coupé",F70&gt;=70000)</f>
        <v>0</v>
      </c>
    </row>
    <row r="71" spans="1:10" x14ac:dyDescent="0.2">
      <c r="A71" s="2" t="s">
        <v>84</v>
      </c>
      <c r="B71" t="s">
        <v>18</v>
      </c>
      <c r="C71" t="s">
        <v>24</v>
      </c>
      <c r="D71" t="s">
        <v>20</v>
      </c>
      <c r="E71">
        <v>2</v>
      </c>
      <c r="F71" s="3">
        <v>81966</v>
      </c>
      <c r="G71" s="3">
        <v>22950</v>
      </c>
      <c r="H71" t="s">
        <v>12</v>
      </c>
      <c r="I71" t="s">
        <v>17</v>
      </c>
      <c r="J71" t="b">
        <f>OR(D71="Coupé",F71&gt;=70000)</f>
        <v>1</v>
      </c>
    </row>
    <row r="72" spans="1:10" x14ac:dyDescent="0.2">
      <c r="A72" s="2" t="s">
        <v>70</v>
      </c>
      <c r="B72" t="s">
        <v>14</v>
      </c>
      <c r="C72" t="s">
        <v>49</v>
      </c>
      <c r="D72" t="s">
        <v>39</v>
      </c>
      <c r="E72">
        <v>3</v>
      </c>
      <c r="F72" s="3">
        <v>52969</v>
      </c>
      <c r="G72" s="3">
        <v>19069</v>
      </c>
      <c r="H72" t="s">
        <v>21</v>
      </c>
      <c r="I72" t="s">
        <v>17</v>
      </c>
      <c r="J72" t="b">
        <f>OR(D72="Coupé",F72&gt;=70000)</f>
        <v>0</v>
      </c>
    </row>
    <row r="73" spans="1:10" x14ac:dyDescent="0.2">
      <c r="A73" s="2" t="s">
        <v>71</v>
      </c>
      <c r="B73" t="s">
        <v>18</v>
      </c>
      <c r="C73" t="s">
        <v>19</v>
      </c>
      <c r="D73" t="s">
        <v>20</v>
      </c>
      <c r="E73">
        <v>4</v>
      </c>
      <c r="F73" s="3">
        <v>29337</v>
      </c>
      <c r="G73" s="3">
        <v>12908</v>
      </c>
      <c r="H73" t="s">
        <v>27</v>
      </c>
      <c r="I73" t="s">
        <v>17</v>
      </c>
      <c r="J73" t="b">
        <f>OR(D73="Coupé",F73&gt;=70000)</f>
        <v>0</v>
      </c>
    </row>
    <row r="74" spans="1:10" x14ac:dyDescent="0.2">
      <c r="A74" s="2" t="s">
        <v>71</v>
      </c>
      <c r="B74" t="s">
        <v>9</v>
      </c>
      <c r="C74" t="s">
        <v>38</v>
      </c>
      <c r="D74" t="s">
        <v>39</v>
      </c>
      <c r="E74">
        <v>3</v>
      </c>
      <c r="F74" s="3">
        <v>35410</v>
      </c>
      <c r="G74" s="3">
        <v>11685</v>
      </c>
      <c r="H74" t="s">
        <v>58</v>
      </c>
      <c r="I74" t="s">
        <v>28</v>
      </c>
      <c r="J74" t="b">
        <f>OR(D74="Coupé",F74&gt;=70000)</f>
        <v>0</v>
      </c>
    </row>
    <row r="75" spans="1:10" x14ac:dyDescent="0.2">
      <c r="A75" s="2" t="s">
        <v>71</v>
      </c>
      <c r="B75" t="s">
        <v>9</v>
      </c>
      <c r="C75" t="s">
        <v>10</v>
      </c>
      <c r="D75" t="s">
        <v>11</v>
      </c>
      <c r="E75">
        <v>3</v>
      </c>
      <c r="F75" s="3">
        <v>40297</v>
      </c>
      <c r="G75" s="3">
        <v>15716</v>
      </c>
      <c r="H75" t="s">
        <v>27</v>
      </c>
      <c r="I75" t="s">
        <v>17</v>
      </c>
      <c r="J75" t="b">
        <f>OR(D75="Coupé",F75&gt;=70000)</f>
        <v>0</v>
      </c>
    </row>
    <row r="76" spans="1:10" x14ac:dyDescent="0.2">
      <c r="A76" s="2" t="s">
        <v>71</v>
      </c>
      <c r="B76" t="s">
        <v>14</v>
      </c>
      <c r="C76" t="s">
        <v>53</v>
      </c>
      <c r="D76" t="s">
        <v>54</v>
      </c>
      <c r="E76">
        <v>3</v>
      </c>
      <c r="F76" s="3">
        <v>49101</v>
      </c>
      <c r="G76" s="3">
        <v>20622</v>
      </c>
      <c r="H76" t="s">
        <v>25</v>
      </c>
      <c r="I76" t="s">
        <v>17</v>
      </c>
      <c r="J76" t="b">
        <f>OR(D76="Coupé",F76&gt;=70000)</f>
        <v>0</v>
      </c>
    </row>
    <row r="77" spans="1:10" x14ac:dyDescent="0.2">
      <c r="A77" s="2" t="s">
        <v>72</v>
      </c>
      <c r="B77" t="s">
        <v>9</v>
      </c>
      <c r="C77" t="s">
        <v>36</v>
      </c>
      <c r="D77" t="s">
        <v>37</v>
      </c>
      <c r="E77">
        <v>3</v>
      </c>
      <c r="F77" s="3">
        <v>48548</v>
      </c>
      <c r="G77" s="3">
        <v>16021</v>
      </c>
      <c r="H77" t="s">
        <v>58</v>
      </c>
      <c r="I77" t="s">
        <v>26</v>
      </c>
      <c r="J77" t="b">
        <f>OR(D77="Coupé",F77&gt;=70000)</f>
        <v>0</v>
      </c>
    </row>
    <row r="78" spans="1:10" x14ac:dyDescent="0.2">
      <c r="A78" s="2" t="s">
        <v>73</v>
      </c>
      <c r="B78" t="s">
        <v>9</v>
      </c>
      <c r="C78" t="s">
        <v>10</v>
      </c>
      <c r="D78" t="s">
        <v>11</v>
      </c>
      <c r="E78">
        <v>2</v>
      </c>
      <c r="F78" s="3">
        <v>40297</v>
      </c>
      <c r="G78" s="3">
        <v>8865</v>
      </c>
      <c r="H78" t="s">
        <v>41</v>
      </c>
      <c r="I78" t="s">
        <v>28</v>
      </c>
      <c r="J78" t="b">
        <f>OR(D78="Coupé",F78&gt;=70000)</f>
        <v>0</v>
      </c>
    </row>
    <row r="79" spans="1:10" x14ac:dyDescent="0.2">
      <c r="A79" s="2" t="s">
        <v>97</v>
      </c>
      <c r="B79" t="s">
        <v>18</v>
      </c>
      <c r="C79" t="s">
        <v>24</v>
      </c>
      <c r="D79" t="s">
        <v>20</v>
      </c>
      <c r="E79">
        <v>2</v>
      </c>
      <c r="F79" s="3">
        <v>81966</v>
      </c>
      <c r="G79" s="3">
        <v>19672</v>
      </c>
      <c r="H79" t="s">
        <v>58</v>
      </c>
      <c r="I79" t="s">
        <v>28</v>
      </c>
      <c r="J79" t="b">
        <f>OR(D79="Coupé",F79&gt;=70000)</f>
        <v>1</v>
      </c>
    </row>
    <row r="80" spans="1:10" x14ac:dyDescent="0.2">
      <c r="A80" s="2" t="s">
        <v>73</v>
      </c>
      <c r="B80" t="s">
        <v>9</v>
      </c>
      <c r="C80" t="s">
        <v>36</v>
      </c>
      <c r="D80" t="s">
        <v>37</v>
      </c>
      <c r="E80">
        <v>3</v>
      </c>
      <c r="F80" s="3">
        <v>48548</v>
      </c>
      <c r="G80" s="3">
        <v>16021</v>
      </c>
      <c r="H80" t="s">
        <v>41</v>
      </c>
      <c r="I80" t="s">
        <v>13</v>
      </c>
      <c r="J80" t="b">
        <f>OR(D80="Coupé",F80&gt;=70000)</f>
        <v>0</v>
      </c>
    </row>
    <row r="81" spans="1:10" x14ac:dyDescent="0.2">
      <c r="A81" s="2" t="s">
        <v>98</v>
      </c>
      <c r="B81" t="s">
        <v>18</v>
      </c>
      <c r="C81" t="s">
        <v>24</v>
      </c>
      <c r="D81" t="s">
        <v>20</v>
      </c>
      <c r="E81">
        <v>4</v>
      </c>
      <c r="F81" s="3">
        <v>81966</v>
      </c>
      <c r="G81" s="3">
        <v>36065</v>
      </c>
      <c r="H81" t="s">
        <v>21</v>
      </c>
      <c r="I81" t="s">
        <v>22</v>
      </c>
      <c r="J81" t="b">
        <f>OR(D81="Coupé",F81&gt;=70000)</f>
        <v>1</v>
      </c>
    </row>
    <row r="82" spans="1:10" x14ac:dyDescent="0.2">
      <c r="A82" s="2" t="s">
        <v>73</v>
      </c>
      <c r="B82" t="s">
        <v>14</v>
      </c>
      <c r="C82" t="s">
        <v>15</v>
      </c>
      <c r="D82" t="s">
        <v>11</v>
      </c>
      <c r="E82">
        <v>2</v>
      </c>
      <c r="F82" s="3">
        <v>65856</v>
      </c>
      <c r="G82" s="3">
        <v>18440</v>
      </c>
      <c r="H82" t="s">
        <v>25</v>
      </c>
      <c r="I82" t="s">
        <v>13</v>
      </c>
      <c r="J82" t="b">
        <f>OR(D82="Coupé",F82&gt;=70000)</f>
        <v>0</v>
      </c>
    </row>
    <row r="83" spans="1:10" x14ac:dyDescent="0.2">
      <c r="A83" s="2" t="s">
        <v>73</v>
      </c>
      <c r="B83" t="s">
        <v>9</v>
      </c>
      <c r="C83" t="s">
        <v>38</v>
      </c>
      <c r="D83" t="s">
        <v>39</v>
      </c>
      <c r="E83">
        <v>4</v>
      </c>
      <c r="F83" s="3">
        <v>35410</v>
      </c>
      <c r="G83" s="3">
        <v>16997</v>
      </c>
      <c r="H83" t="s">
        <v>58</v>
      </c>
      <c r="I83" t="s">
        <v>26</v>
      </c>
      <c r="J83" t="b">
        <f>OR(D83="Coupé",F83&gt;=70000)</f>
        <v>0</v>
      </c>
    </row>
    <row r="84" spans="1:10" x14ac:dyDescent="0.2">
      <c r="A84" s="2" t="s">
        <v>111</v>
      </c>
      <c r="B84" t="s">
        <v>18</v>
      </c>
      <c r="C84" t="s">
        <v>24</v>
      </c>
      <c r="D84" t="s">
        <v>20</v>
      </c>
      <c r="E84">
        <v>3</v>
      </c>
      <c r="F84" s="3">
        <v>81966</v>
      </c>
      <c r="G84" s="3">
        <v>31967</v>
      </c>
      <c r="H84" t="s">
        <v>21</v>
      </c>
      <c r="I84" t="s">
        <v>22</v>
      </c>
      <c r="J84" t="b">
        <f>OR(D84="Coupé",F84&gt;=70000)</f>
        <v>1</v>
      </c>
    </row>
    <row r="85" spans="1:10" x14ac:dyDescent="0.2">
      <c r="A85" s="2" t="s">
        <v>74</v>
      </c>
      <c r="B85" t="s">
        <v>9</v>
      </c>
      <c r="C85" t="s">
        <v>10</v>
      </c>
      <c r="D85" t="s">
        <v>11</v>
      </c>
      <c r="E85">
        <v>4</v>
      </c>
      <c r="F85" s="3">
        <v>40297</v>
      </c>
      <c r="G85" s="3">
        <v>20954</v>
      </c>
      <c r="H85" t="s">
        <v>21</v>
      </c>
      <c r="I85" t="s">
        <v>13</v>
      </c>
      <c r="J85" t="b">
        <f>OR(D85="Coupé",F85&gt;=70000)</f>
        <v>0</v>
      </c>
    </row>
    <row r="86" spans="1:10" x14ac:dyDescent="0.2">
      <c r="A86" s="2" t="s">
        <v>75</v>
      </c>
      <c r="B86" t="s">
        <v>9</v>
      </c>
      <c r="C86" t="s">
        <v>38</v>
      </c>
      <c r="D86" t="s">
        <v>39</v>
      </c>
      <c r="E86">
        <v>2</v>
      </c>
      <c r="F86" s="3">
        <v>35410</v>
      </c>
      <c r="G86" s="3">
        <v>7082</v>
      </c>
      <c r="H86" t="s">
        <v>12</v>
      </c>
      <c r="I86" t="s">
        <v>22</v>
      </c>
      <c r="J86" t="b">
        <f>OR(D86="Coupé",F86&gt;=70000)</f>
        <v>0</v>
      </c>
    </row>
    <row r="87" spans="1:10" x14ac:dyDescent="0.2">
      <c r="A87" s="2" t="s">
        <v>75</v>
      </c>
      <c r="B87" t="s">
        <v>14</v>
      </c>
      <c r="C87" t="s">
        <v>15</v>
      </c>
      <c r="D87" t="s">
        <v>11</v>
      </c>
      <c r="E87">
        <v>4</v>
      </c>
      <c r="F87" s="3">
        <v>65856</v>
      </c>
      <c r="G87" s="3">
        <v>39514</v>
      </c>
      <c r="H87" t="s">
        <v>41</v>
      </c>
      <c r="I87" t="s">
        <v>22</v>
      </c>
      <c r="J87" t="b">
        <f>OR(D87="Coupé",F87&gt;=70000)</f>
        <v>0</v>
      </c>
    </row>
    <row r="88" spans="1:10" x14ac:dyDescent="0.2">
      <c r="A88" s="2" t="s">
        <v>76</v>
      </c>
      <c r="B88" t="s">
        <v>18</v>
      </c>
      <c r="C88" t="s">
        <v>19</v>
      </c>
      <c r="D88" t="s">
        <v>20</v>
      </c>
      <c r="E88">
        <v>3</v>
      </c>
      <c r="F88" s="3">
        <v>29337</v>
      </c>
      <c r="G88" s="3">
        <v>11441</v>
      </c>
      <c r="H88" t="s">
        <v>25</v>
      </c>
      <c r="I88" t="s">
        <v>28</v>
      </c>
      <c r="J88" t="b">
        <f>OR(D88="Coupé",F88&gt;=70000)</f>
        <v>0</v>
      </c>
    </row>
    <row r="89" spans="1:10" x14ac:dyDescent="0.2">
      <c r="A89" s="2" t="s">
        <v>112</v>
      </c>
      <c r="B89" t="s">
        <v>18</v>
      </c>
      <c r="C89" t="s">
        <v>24</v>
      </c>
      <c r="D89" t="s">
        <v>20</v>
      </c>
      <c r="E89">
        <v>3</v>
      </c>
      <c r="F89" s="3">
        <v>81966</v>
      </c>
      <c r="G89" s="3">
        <v>31967</v>
      </c>
      <c r="H89" t="s">
        <v>21</v>
      </c>
      <c r="I89" t="s">
        <v>17</v>
      </c>
      <c r="J89" t="b">
        <f>OR(D89="Coupé",F89&gt;=70000)</f>
        <v>1</v>
      </c>
    </row>
    <row r="90" spans="1:10" x14ac:dyDescent="0.2">
      <c r="A90" s="2" t="s">
        <v>77</v>
      </c>
      <c r="B90" t="s">
        <v>18</v>
      </c>
      <c r="C90" t="s">
        <v>19</v>
      </c>
      <c r="D90" t="s">
        <v>20</v>
      </c>
      <c r="E90">
        <v>2</v>
      </c>
      <c r="F90" s="3">
        <v>29337</v>
      </c>
      <c r="G90" s="3">
        <v>7041</v>
      </c>
      <c r="H90" t="s">
        <v>41</v>
      </c>
      <c r="I90" t="s">
        <v>13</v>
      </c>
      <c r="J90" t="b">
        <f>OR(D90="Coupé",F90&gt;=70000)</f>
        <v>0</v>
      </c>
    </row>
    <row r="91" spans="1:10" x14ac:dyDescent="0.2">
      <c r="A91" s="2" t="s">
        <v>77</v>
      </c>
      <c r="B91" t="s">
        <v>9</v>
      </c>
      <c r="C91" t="s">
        <v>36</v>
      </c>
      <c r="D91" t="s">
        <v>37</v>
      </c>
      <c r="E91">
        <v>3</v>
      </c>
      <c r="F91" s="3">
        <v>48548</v>
      </c>
      <c r="G91" s="3">
        <v>20390</v>
      </c>
      <c r="H91" t="s">
        <v>58</v>
      </c>
      <c r="I91" t="s">
        <v>22</v>
      </c>
      <c r="J91" t="b">
        <f>OR(D91="Coupé",F91&gt;=70000)</f>
        <v>0</v>
      </c>
    </row>
    <row r="92" spans="1:10" x14ac:dyDescent="0.2">
      <c r="A92" s="2" t="s">
        <v>77</v>
      </c>
      <c r="B92" t="s">
        <v>14</v>
      </c>
      <c r="C92" t="s">
        <v>49</v>
      </c>
      <c r="D92" t="s">
        <v>39</v>
      </c>
      <c r="E92">
        <v>3</v>
      </c>
      <c r="F92" s="3">
        <v>52969</v>
      </c>
      <c r="G92" s="3">
        <v>17480</v>
      </c>
      <c r="H92" t="s">
        <v>41</v>
      </c>
      <c r="I92" t="s">
        <v>26</v>
      </c>
      <c r="J92" t="b">
        <f>OR(D92="Coupé",F92&gt;=70000)</f>
        <v>0</v>
      </c>
    </row>
    <row r="93" spans="1:10" x14ac:dyDescent="0.2">
      <c r="A93" s="2" t="s">
        <v>78</v>
      </c>
      <c r="B93" t="s">
        <v>14</v>
      </c>
      <c r="C93" t="s">
        <v>49</v>
      </c>
      <c r="D93" t="s">
        <v>39</v>
      </c>
      <c r="E93">
        <v>4</v>
      </c>
      <c r="F93" s="3">
        <v>52969</v>
      </c>
      <c r="G93" s="3">
        <v>21188</v>
      </c>
      <c r="H93" t="s">
        <v>12</v>
      </c>
      <c r="I93" t="s">
        <v>28</v>
      </c>
      <c r="J93" t="b">
        <f>OR(D93="Coupé",F93&gt;=70000)</f>
        <v>0</v>
      </c>
    </row>
    <row r="94" spans="1:10" x14ac:dyDescent="0.2">
      <c r="A94" s="2" t="s">
        <v>120</v>
      </c>
      <c r="B94" t="s">
        <v>18</v>
      </c>
      <c r="C94" t="s">
        <v>24</v>
      </c>
      <c r="D94" t="s">
        <v>20</v>
      </c>
      <c r="E94">
        <v>1</v>
      </c>
      <c r="F94" s="3">
        <v>81966</v>
      </c>
      <c r="G94" s="3">
        <v>11475</v>
      </c>
      <c r="H94" t="s">
        <v>27</v>
      </c>
      <c r="I94" t="s">
        <v>13</v>
      </c>
      <c r="J94" t="b">
        <f>OR(D94="Coupé",F94&gt;=70000)</f>
        <v>1</v>
      </c>
    </row>
    <row r="95" spans="1:10" x14ac:dyDescent="0.2">
      <c r="A95" s="2" t="s">
        <v>32</v>
      </c>
      <c r="B95" t="s">
        <v>14</v>
      </c>
      <c r="C95" t="s">
        <v>33</v>
      </c>
      <c r="D95" t="s">
        <v>34</v>
      </c>
      <c r="E95">
        <v>2</v>
      </c>
      <c r="F95" s="3">
        <v>77963</v>
      </c>
      <c r="G95" s="3">
        <v>15593</v>
      </c>
      <c r="H95" t="s">
        <v>27</v>
      </c>
      <c r="I95" t="s">
        <v>26</v>
      </c>
      <c r="J95" t="b">
        <f>OR(D95="Coupé",F95&gt;=70000)</f>
        <v>1</v>
      </c>
    </row>
    <row r="96" spans="1:10" x14ac:dyDescent="0.2">
      <c r="A96" s="2" t="s">
        <v>79</v>
      </c>
      <c r="B96" t="s">
        <v>14</v>
      </c>
      <c r="C96" t="s">
        <v>15</v>
      </c>
      <c r="D96" t="s">
        <v>11</v>
      </c>
      <c r="E96">
        <v>1</v>
      </c>
      <c r="F96" s="3">
        <v>65856</v>
      </c>
      <c r="G96" s="3">
        <v>7903</v>
      </c>
      <c r="H96" t="s">
        <v>58</v>
      </c>
      <c r="I96" t="s">
        <v>26</v>
      </c>
      <c r="J96" t="b">
        <f>OR(D96="Coupé",F96&gt;=70000)</f>
        <v>0</v>
      </c>
    </row>
    <row r="97" spans="1:10" x14ac:dyDescent="0.2">
      <c r="A97" s="2" t="s">
        <v>79</v>
      </c>
      <c r="B97" t="s">
        <v>9</v>
      </c>
      <c r="C97" t="s">
        <v>47</v>
      </c>
      <c r="D97" t="s">
        <v>11</v>
      </c>
      <c r="E97">
        <v>8</v>
      </c>
      <c r="F97" s="3">
        <v>35886</v>
      </c>
      <c r="G97" s="3">
        <v>40192</v>
      </c>
      <c r="H97" t="s">
        <v>27</v>
      </c>
      <c r="I97" t="s">
        <v>26</v>
      </c>
      <c r="J97" t="b">
        <f>OR(D97="Coupé",F97&gt;=70000)</f>
        <v>0</v>
      </c>
    </row>
    <row r="98" spans="1:10" x14ac:dyDescent="0.2">
      <c r="A98" s="2" t="s">
        <v>80</v>
      </c>
      <c r="B98" t="s">
        <v>9</v>
      </c>
      <c r="C98" t="s">
        <v>47</v>
      </c>
      <c r="D98" t="s">
        <v>11</v>
      </c>
      <c r="E98">
        <v>3</v>
      </c>
      <c r="F98" s="3">
        <v>35886</v>
      </c>
      <c r="G98" s="3">
        <v>11842</v>
      </c>
      <c r="H98" t="s">
        <v>27</v>
      </c>
      <c r="I98" t="s">
        <v>26</v>
      </c>
      <c r="J98" t="b">
        <f>OR(D98="Coupé",F98&gt;=70000)</f>
        <v>0</v>
      </c>
    </row>
    <row r="99" spans="1:10" x14ac:dyDescent="0.2">
      <c r="A99" s="2" t="s">
        <v>80</v>
      </c>
      <c r="B99" t="s">
        <v>9</v>
      </c>
      <c r="C99" t="s">
        <v>47</v>
      </c>
      <c r="D99" t="s">
        <v>11</v>
      </c>
      <c r="E99">
        <v>4</v>
      </c>
      <c r="F99" s="3">
        <v>35886</v>
      </c>
      <c r="G99" s="3">
        <v>17225</v>
      </c>
      <c r="H99" t="s">
        <v>31</v>
      </c>
      <c r="I99" t="s">
        <v>26</v>
      </c>
      <c r="J99" t="b">
        <f>OR(D99="Coupé",F99&gt;=70000)</f>
        <v>0</v>
      </c>
    </row>
    <row r="100" spans="1:10" x14ac:dyDescent="0.2">
      <c r="A100" s="2" t="s">
        <v>81</v>
      </c>
      <c r="B100" t="s">
        <v>18</v>
      </c>
      <c r="C100" t="s">
        <v>55</v>
      </c>
      <c r="D100" t="s">
        <v>20</v>
      </c>
      <c r="E100">
        <v>2</v>
      </c>
      <c r="F100" s="3">
        <v>61219</v>
      </c>
      <c r="G100" s="3">
        <v>18366</v>
      </c>
      <c r="H100" t="s">
        <v>41</v>
      </c>
      <c r="I100" t="s">
        <v>22</v>
      </c>
      <c r="J100" t="b">
        <f>OR(D100="Coupé",F100&gt;=70000)</f>
        <v>0</v>
      </c>
    </row>
    <row r="101" spans="1:10" x14ac:dyDescent="0.2">
      <c r="A101" s="2" t="s">
        <v>81</v>
      </c>
      <c r="B101" t="s">
        <v>9</v>
      </c>
      <c r="C101" t="s">
        <v>36</v>
      </c>
      <c r="D101" t="s">
        <v>37</v>
      </c>
      <c r="E101">
        <v>1</v>
      </c>
      <c r="F101" s="3">
        <v>48548</v>
      </c>
      <c r="G101" s="3">
        <v>4855</v>
      </c>
      <c r="H101" t="s">
        <v>27</v>
      </c>
      <c r="I101" t="s">
        <v>26</v>
      </c>
      <c r="J101" t="b">
        <f>OR(D101="Coupé",F101&gt;=70000)</f>
        <v>0</v>
      </c>
    </row>
    <row r="102" spans="1:10" x14ac:dyDescent="0.2">
      <c r="A102" s="2" t="s">
        <v>44</v>
      </c>
      <c r="B102" t="s">
        <v>14</v>
      </c>
      <c r="C102" t="s">
        <v>33</v>
      </c>
      <c r="D102" t="s">
        <v>34</v>
      </c>
      <c r="E102">
        <v>4</v>
      </c>
      <c r="F102" s="3">
        <v>77963</v>
      </c>
      <c r="G102" s="3">
        <v>46778</v>
      </c>
      <c r="H102" t="s">
        <v>25</v>
      </c>
      <c r="I102" t="s">
        <v>13</v>
      </c>
      <c r="J102" t="b">
        <f>OR(D102="Coupé",F102&gt;=70000)</f>
        <v>1</v>
      </c>
    </row>
    <row r="103" spans="1:10" x14ac:dyDescent="0.2">
      <c r="A103" s="2" t="s">
        <v>83</v>
      </c>
      <c r="B103" t="s">
        <v>9</v>
      </c>
      <c r="C103" t="s">
        <v>36</v>
      </c>
      <c r="D103" t="s">
        <v>37</v>
      </c>
      <c r="E103">
        <v>3</v>
      </c>
      <c r="F103" s="3">
        <v>48548</v>
      </c>
      <c r="G103" s="3">
        <v>16021</v>
      </c>
      <c r="H103" t="s">
        <v>41</v>
      </c>
      <c r="I103" t="s">
        <v>13</v>
      </c>
      <c r="J103" t="b">
        <f>OR(D103="Coupé",F103&gt;=70000)</f>
        <v>0</v>
      </c>
    </row>
    <row r="104" spans="1:10" x14ac:dyDescent="0.2">
      <c r="A104" s="2" t="s">
        <v>83</v>
      </c>
      <c r="B104" t="s">
        <v>9</v>
      </c>
      <c r="C104" t="s">
        <v>36</v>
      </c>
      <c r="D104" t="s">
        <v>37</v>
      </c>
      <c r="E104">
        <v>2</v>
      </c>
      <c r="F104" s="3">
        <v>48548</v>
      </c>
      <c r="G104" s="3">
        <v>9710</v>
      </c>
      <c r="H104" t="s">
        <v>12</v>
      </c>
      <c r="I104" t="s">
        <v>28</v>
      </c>
      <c r="J104" t="b">
        <f>OR(D104="Coupé",F104&gt;=70000)</f>
        <v>0</v>
      </c>
    </row>
    <row r="105" spans="1:10" x14ac:dyDescent="0.2">
      <c r="A105" s="2" t="s">
        <v>84</v>
      </c>
      <c r="B105" t="s">
        <v>14</v>
      </c>
      <c r="C105" t="s">
        <v>53</v>
      </c>
      <c r="D105" t="s">
        <v>54</v>
      </c>
      <c r="E105">
        <v>2</v>
      </c>
      <c r="F105" s="3">
        <v>49101</v>
      </c>
      <c r="G105" s="3">
        <v>10802</v>
      </c>
      <c r="H105" t="s">
        <v>21</v>
      </c>
      <c r="I105" t="s">
        <v>17</v>
      </c>
      <c r="J105" t="b">
        <f>OR(D105="Coupé",F105&gt;=70000)</f>
        <v>0</v>
      </c>
    </row>
    <row r="106" spans="1:10" x14ac:dyDescent="0.2">
      <c r="A106" s="2" t="s">
        <v>51</v>
      </c>
      <c r="B106" t="s">
        <v>14</v>
      </c>
      <c r="C106" t="s">
        <v>33</v>
      </c>
      <c r="D106" t="s">
        <v>34</v>
      </c>
      <c r="E106">
        <v>4</v>
      </c>
      <c r="F106" s="3">
        <v>77963</v>
      </c>
      <c r="G106" s="3">
        <v>43659</v>
      </c>
      <c r="H106" t="s">
        <v>27</v>
      </c>
      <c r="I106" t="s">
        <v>22</v>
      </c>
      <c r="J106" t="b">
        <f>OR(D106="Coupé",F106&gt;=70000)</f>
        <v>1</v>
      </c>
    </row>
    <row r="107" spans="1:10" x14ac:dyDescent="0.2">
      <c r="A107" s="2" t="s">
        <v>84</v>
      </c>
      <c r="B107" t="s">
        <v>9</v>
      </c>
      <c r="C107" t="s">
        <v>36</v>
      </c>
      <c r="D107" t="s">
        <v>37</v>
      </c>
      <c r="E107">
        <v>4</v>
      </c>
      <c r="F107" s="3">
        <v>48548</v>
      </c>
      <c r="G107" s="3">
        <v>27187</v>
      </c>
      <c r="H107" t="s">
        <v>58</v>
      </c>
      <c r="I107" t="s">
        <v>17</v>
      </c>
      <c r="J107" t="b">
        <f>OR(D107="Coupé",F107&gt;=70000)</f>
        <v>0</v>
      </c>
    </row>
    <row r="108" spans="1:10" x14ac:dyDescent="0.2">
      <c r="A108" s="2" t="s">
        <v>85</v>
      </c>
      <c r="B108" t="s">
        <v>14</v>
      </c>
      <c r="C108" t="s">
        <v>15</v>
      </c>
      <c r="D108" t="s">
        <v>11</v>
      </c>
      <c r="E108">
        <v>1</v>
      </c>
      <c r="F108" s="3">
        <v>65856</v>
      </c>
      <c r="G108" s="3">
        <v>5927</v>
      </c>
      <c r="H108" t="s">
        <v>12</v>
      </c>
      <c r="I108" t="s">
        <v>22</v>
      </c>
      <c r="J108" t="b">
        <f>OR(D108="Coupé",F108&gt;=70000)</f>
        <v>0</v>
      </c>
    </row>
    <row r="109" spans="1:10" x14ac:dyDescent="0.2">
      <c r="A109" s="2" t="s">
        <v>86</v>
      </c>
      <c r="B109" t="s">
        <v>18</v>
      </c>
      <c r="C109" t="s">
        <v>55</v>
      </c>
      <c r="D109" t="s">
        <v>20</v>
      </c>
      <c r="E109">
        <v>12</v>
      </c>
      <c r="F109" s="3">
        <v>61219</v>
      </c>
      <c r="G109" s="3">
        <v>73463</v>
      </c>
      <c r="H109" t="s">
        <v>12</v>
      </c>
      <c r="I109" t="s">
        <v>13</v>
      </c>
      <c r="J109" t="b">
        <f>OR(D109="Coupé",F109&gt;=70000)</f>
        <v>0</v>
      </c>
    </row>
    <row r="110" spans="1:10" x14ac:dyDescent="0.2">
      <c r="A110" s="2" t="s">
        <v>86</v>
      </c>
      <c r="B110" t="s">
        <v>14</v>
      </c>
      <c r="C110" t="s">
        <v>49</v>
      </c>
      <c r="D110" t="s">
        <v>39</v>
      </c>
      <c r="E110">
        <v>4</v>
      </c>
      <c r="F110" s="3">
        <v>52969</v>
      </c>
      <c r="G110" s="3">
        <v>25425</v>
      </c>
      <c r="H110" t="s">
        <v>31</v>
      </c>
      <c r="I110" t="s">
        <v>26</v>
      </c>
      <c r="J110" t="b">
        <f>OR(D110="Coupé",F110&gt;=70000)</f>
        <v>0</v>
      </c>
    </row>
    <row r="111" spans="1:10" x14ac:dyDescent="0.2">
      <c r="A111" s="2" t="s">
        <v>86</v>
      </c>
      <c r="B111" t="s">
        <v>14</v>
      </c>
      <c r="C111" t="s">
        <v>15</v>
      </c>
      <c r="D111" t="s">
        <v>11</v>
      </c>
      <c r="E111">
        <v>4</v>
      </c>
      <c r="F111" s="3">
        <v>65856</v>
      </c>
      <c r="G111" s="3">
        <v>28977</v>
      </c>
      <c r="H111" t="s">
        <v>12</v>
      </c>
      <c r="I111" t="s">
        <v>13</v>
      </c>
      <c r="J111" t="b">
        <f>OR(D111="Coupé",F111&gt;=70000)</f>
        <v>0</v>
      </c>
    </row>
    <row r="112" spans="1:10" x14ac:dyDescent="0.2">
      <c r="A112" s="2" t="s">
        <v>86</v>
      </c>
      <c r="B112" t="s">
        <v>14</v>
      </c>
      <c r="C112" t="s">
        <v>15</v>
      </c>
      <c r="D112" t="s">
        <v>11</v>
      </c>
      <c r="E112">
        <v>3</v>
      </c>
      <c r="F112" s="3">
        <v>65856</v>
      </c>
      <c r="G112" s="3">
        <v>29635</v>
      </c>
      <c r="H112" t="s">
        <v>41</v>
      </c>
      <c r="I112" t="s">
        <v>17</v>
      </c>
      <c r="J112" t="b">
        <f>OR(D112="Coupé",F112&gt;=70000)</f>
        <v>0</v>
      </c>
    </row>
    <row r="113" spans="1:10" x14ac:dyDescent="0.2">
      <c r="A113" s="2" t="s">
        <v>87</v>
      </c>
      <c r="B113" t="s">
        <v>9</v>
      </c>
      <c r="C113" t="s">
        <v>38</v>
      </c>
      <c r="D113" t="s">
        <v>39</v>
      </c>
      <c r="E113">
        <v>3</v>
      </c>
      <c r="F113" s="3">
        <v>35410</v>
      </c>
      <c r="G113" s="3">
        <v>13810</v>
      </c>
      <c r="H113" t="s">
        <v>58</v>
      </c>
      <c r="I113" t="s">
        <v>28</v>
      </c>
      <c r="J113" t="b">
        <f>OR(D113="Coupé",F113&gt;=70000)</f>
        <v>0</v>
      </c>
    </row>
    <row r="114" spans="1:10" x14ac:dyDescent="0.2">
      <c r="A114" s="2" t="s">
        <v>87</v>
      </c>
      <c r="B114" t="s">
        <v>14</v>
      </c>
      <c r="C114" t="s">
        <v>53</v>
      </c>
      <c r="D114" t="s">
        <v>54</v>
      </c>
      <c r="E114">
        <v>4</v>
      </c>
      <c r="F114" s="3">
        <v>49101</v>
      </c>
      <c r="G114" s="3">
        <v>19640</v>
      </c>
      <c r="H114" t="s">
        <v>31</v>
      </c>
      <c r="I114" t="s">
        <v>22</v>
      </c>
      <c r="J114" t="b">
        <f>OR(D114="Coupé",F114&gt;=70000)</f>
        <v>0</v>
      </c>
    </row>
    <row r="115" spans="1:10" x14ac:dyDescent="0.2">
      <c r="A115" s="2" t="s">
        <v>88</v>
      </c>
      <c r="B115" t="s">
        <v>9</v>
      </c>
      <c r="C115" t="s">
        <v>36</v>
      </c>
      <c r="D115" t="s">
        <v>37</v>
      </c>
      <c r="E115">
        <v>4</v>
      </c>
      <c r="F115" s="3">
        <v>48548</v>
      </c>
      <c r="G115" s="3">
        <v>23303</v>
      </c>
      <c r="H115" t="s">
        <v>25</v>
      </c>
      <c r="I115" t="s">
        <v>28</v>
      </c>
      <c r="J115" t="b">
        <f>OR(D115="Coupé",F115&gt;=70000)</f>
        <v>0</v>
      </c>
    </row>
    <row r="116" spans="1:10" x14ac:dyDescent="0.2">
      <c r="A116" s="2" t="s">
        <v>88</v>
      </c>
      <c r="B116" t="s">
        <v>14</v>
      </c>
      <c r="C116" t="s">
        <v>53</v>
      </c>
      <c r="D116" t="s">
        <v>54</v>
      </c>
      <c r="E116">
        <v>4</v>
      </c>
      <c r="F116" s="3">
        <v>49101</v>
      </c>
      <c r="G116" s="3">
        <v>21604</v>
      </c>
      <c r="H116" t="s">
        <v>21</v>
      </c>
      <c r="I116" t="s">
        <v>22</v>
      </c>
      <c r="J116" t="b">
        <f>OR(D116="Coupé",F116&gt;=70000)</f>
        <v>0</v>
      </c>
    </row>
    <row r="117" spans="1:10" x14ac:dyDescent="0.2">
      <c r="A117" s="2" t="s">
        <v>88</v>
      </c>
      <c r="B117" t="s">
        <v>14</v>
      </c>
      <c r="C117" t="s">
        <v>49</v>
      </c>
      <c r="D117" t="s">
        <v>39</v>
      </c>
      <c r="E117">
        <v>4</v>
      </c>
      <c r="F117" s="3">
        <v>52969</v>
      </c>
      <c r="G117" s="3">
        <v>29663</v>
      </c>
      <c r="H117" t="s">
        <v>41</v>
      </c>
      <c r="I117" t="s">
        <v>26</v>
      </c>
      <c r="J117" t="b">
        <f>OR(D117="Coupé",F117&gt;=70000)</f>
        <v>0</v>
      </c>
    </row>
    <row r="118" spans="1:10" x14ac:dyDescent="0.2">
      <c r="A118" s="2" t="s">
        <v>89</v>
      </c>
      <c r="B118" t="s">
        <v>9</v>
      </c>
      <c r="C118" t="s">
        <v>38</v>
      </c>
      <c r="D118" t="s">
        <v>39</v>
      </c>
      <c r="E118">
        <v>2</v>
      </c>
      <c r="F118" s="3">
        <v>35410</v>
      </c>
      <c r="G118" s="3">
        <v>9207</v>
      </c>
      <c r="H118" t="s">
        <v>41</v>
      </c>
      <c r="I118" t="s">
        <v>28</v>
      </c>
      <c r="J118" t="b">
        <f>OR(D118="Coupé",F118&gt;=70000)</f>
        <v>0</v>
      </c>
    </row>
    <row r="119" spans="1:10" x14ac:dyDescent="0.2">
      <c r="A119" s="2" t="s">
        <v>89</v>
      </c>
      <c r="B119" t="s">
        <v>9</v>
      </c>
      <c r="C119" t="s">
        <v>47</v>
      </c>
      <c r="D119" t="s">
        <v>11</v>
      </c>
      <c r="E119">
        <v>2</v>
      </c>
      <c r="F119" s="3">
        <v>35886</v>
      </c>
      <c r="G119" s="3">
        <v>6459</v>
      </c>
      <c r="H119" t="s">
        <v>21</v>
      </c>
      <c r="I119" t="s">
        <v>22</v>
      </c>
      <c r="J119" t="b">
        <f>OR(D119="Coupé",F119&gt;=70000)</f>
        <v>0</v>
      </c>
    </row>
    <row r="120" spans="1:10" x14ac:dyDescent="0.2">
      <c r="A120" s="2" t="s">
        <v>52</v>
      </c>
      <c r="B120" t="s">
        <v>14</v>
      </c>
      <c r="C120" t="s">
        <v>33</v>
      </c>
      <c r="D120" t="s">
        <v>34</v>
      </c>
      <c r="E120">
        <v>4</v>
      </c>
      <c r="F120" s="3">
        <v>77963</v>
      </c>
      <c r="G120" s="3">
        <v>46778</v>
      </c>
      <c r="H120" t="s">
        <v>16</v>
      </c>
      <c r="I120" t="s">
        <v>26</v>
      </c>
      <c r="J120" t="b">
        <f>OR(D120="Coupé",F120&gt;=70000)</f>
        <v>1</v>
      </c>
    </row>
    <row r="121" spans="1:10" x14ac:dyDescent="0.2">
      <c r="A121" s="2" t="s">
        <v>89</v>
      </c>
      <c r="B121" t="s">
        <v>9</v>
      </c>
      <c r="C121" t="s">
        <v>10</v>
      </c>
      <c r="D121" t="s">
        <v>11</v>
      </c>
      <c r="E121">
        <v>4</v>
      </c>
      <c r="F121" s="3">
        <v>40297</v>
      </c>
      <c r="G121" s="3">
        <v>20954</v>
      </c>
      <c r="H121" t="s">
        <v>21</v>
      </c>
      <c r="I121" t="s">
        <v>28</v>
      </c>
      <c r="J121" t="b">
        <f>OR(D121="Coupé",F121&gt;=70000)</f>
        <v>0</v>
      </c>
    </row>
    <row r="122" spans="1:10" x14ac:dyDescent="0.2">
      <c r="A122" s="2" t="s">
        <v>90</v>
      </c>
      <c r="B122" t="s">
        <v>14</v>
      </c>
      <c r="C122" t="s">
        <v>15</v>
      </c>
      <c r="D122" t="s">
        <v>11</v>
      </c>
      <c r="E122">
        <v>1</v>
      </c>
      <c r="F122" s="3">
        <v>65856</v>
      </c>
      <c r="G122" s="3">
        <v>5927</v>
      </c>
      <c r="H122" t="s">
        <v>21</v>
      </c>
      <c r="I122" t="s">
        <v>26</v>
      </c>
      <c r="J122" t="b">
        <f>OR(D122="Coupé",F122&gt;=70000)</f>
        <v>0</v>
      </c>
    </row>
    <row r="123" spans="1:10" x14ac:dyDescent="0.2">
      <c r="A123" s="2" t="s">
        <v>91</v>
      </c>
      <c r="B123" t="s">
        <v>14</v>
      </c>
      <c r="C123" t="s">
        <v>15</v>
      </c>
      <c r="D123" t="s">
        <v>11</v>
      </c>
      <c r="E123">
        <v>2</v>
      </c>
      <c r="F123" s="3">
        <v>65856</v>
      </c>
      <c r="G123" s="3">
        <v>11854</v>
      </c>
      <c r="H123" t="s">
        <v>27</v>
      </c>
      <c r="I123" t="s">
        <v>13</v>
      </c>
      <c r="J123" t="b">
        <f>OR(D123="Coupé",F123&gt;=70000)</f>
        <v>0</v>
      </c>
    </row>
    <row r="124" spans="1:10" x14ac:dyDescent="0.2">
      <c r="A124" s="2" t="s">
        <v>91</v>
      </c>
      <c r="B124" t="s">
        <v>18</v>
      </c>
      <c r="C124" t="s">
        <v>55</v>
      </c>
      <c r="D124" t="s">
        <v>20</v>
      </c>
      <c r="E124">
        <v>2</v>
      </c>
      <c r="F124" s="3">
        <v>61219</v>
      </c>
      <c r="G124" s="3">
        <v>18366</v>
      </c>
      <c r="H124" t="s">
        <v>27</v>
      </c>
      <c r="I124" t="s">
        <v>22</v>
      </c>
      <c r="J124" t="b">
        <f>OR(D124="Coupé",F124&gt;=70000)</f>
        <v>0</v>
      </c>
    </row>
    <row r="125" spans="1:10" x14ac:dyDescent="0.2">
      <c r="A125" s="2" t="s">
        <v>91</v>
      </c>
      <c r="B125" t="s">
        <v>9</v>
      </c>
      <c r="C125" t="s">
        <v>38</v>
      </c>
      <c r="D125" t="s">
        <v>39</v>
      </c>
      <c r="E125">
        <v>4</v>
      </c>
      <c r="F125" s="3">
        <v>35410</v>
      </c>
      <c r="G125" s="3">
        <v>14164</v>
      </c>
      <c r="H125" t="s">
        <v>21</v>
      </c>
      <c r="I125" t="s">
        <v>13</v>
      </c>
      <c r="J125" t="b">
        <f>OR(D125="Coupé",F125&gt;=70000)</f>
        <v>0</v>
      </c>
    </row>
    <row r="126" spans="1:10" x14ac:dyDescent="0.2">
      <c r="A126" s="2" t="s">
        <v>91</v>
      </c>
      <c r="B126" t="s">
        <v>9</v>
      </c>
      <c r="C126" t="s">
        <v>38</v>
      </c>
      <c r="D126" t="s">
        <v>39</v>
      </c>
      <c r="E126">
        <v>1</v>
      </c>
      <c r="F126" s="3">
        <v>35410</v>
      </c>
      <c r="G126" s="3">
        <v>4957</v>
      </c>
      <c r="H126" t="s">
        <v>31</v>
      </c>
      <c r="I126" t="s">
        <v>28</v>
      </c>
      <c r="J126" t="b">
        <f>OR(D126="Coupé",F126&gt;=70000)</f>
        <v>0</v>
      </c>
    </row>
    <row r="127" spans="1:10" x14ac:dyDescent="0.2">
      <c r="A127" s="2" t="s">
        <v>92</v>
      </c>
      <c r="B127" t="s">
        <v>18</v>
      </c>
      <c r="C127" t="s">
        <v>55</v>
      </c>
      <c r="D127" t="s">
        <v>20</v>
      </c>
      <c r="E127">
        <v>3</v>
      </c>
      <c r="F127" s="3">
        <v>61219</v>
      </c>
      <c r="G127" s="3">
        <v>20202</v>
      </c>
      <c r="H127" t="s">
        <v>25</v>
      </c>
      <c r="I127" t="s">
        <v>22</v>
      </c>
      <c r="J127" t="b">
        <f>OR(D127="Coupé",F127&gt;=70000)</f>
        <v>0</v>
      </c>
    </row>
    <row r="128" spans="1:10" x14ac:dyDescent="0.2">
      <c r="A128" s="2" t="s">
        <v>92</v>
      </c>
      <c r="B128" t="s">
        <v>9</v>
      </c>
      <c r="C128" t="s">
        <v>36</v>
      </c>
      <c r="D128" t="s">
        <v>37</v>
      </c>
      <c r="E128">
        <v>4</v>
      </c>
      <c r="F128" s="3">
        <v>48548</v>
      </c>
      <c r="G128" s="3">
        <v>19419</v>
      </c>
      <c r="H128" t="s">
        <v>31</v>
      </c>
      <c r="I128" t="s">
        <v>13</v>
      </c>
      <c r="J128" t="b">
        <f>OR(D128="Coupé",F128&gt;=70000)</f>
        <v>0</v>
      </c>
    </row>
    <row r="129" spans="1:10" x14ac:dyDescent="0.2">
      <c r="A129" s="2" t="s">
        <v>93</v>
      </c>
      <c r="B129" t="s">
        <v>9</v>
      </c>
      <c r="C129" t="s">
        <v>38</v>
      </c>
      <c r="D129" t="s">
        <v>39</v>
      </c>
      <c r="E129">
        <v>2</v>
      </c>
      <c r="F129" s="3">
        <v>35410</v>
      </c>
      <c r="G129" s="3">
        <v>10623</v>
      </c>
      <c r="H129" t="s">
        <v>25</v>
      </c>
      <c r="I129" t="s">
        <v>13</v>
      </c>
      <c r="J129" t="b">
        <f>OR(D129="Coupé",F129&gt;=70000)</f>
        <v>0</v>
      </c>
    </row>
    <row r="130" spans="1:10" x14ac:dyDescent="0.2">
      <c r="A130" s="2" t="s">
        <v>94</v>
      </c>
      <c r="B130" t="s">
        <v>18</v>
      </c>
      <c r="C130" t="s">
        <v>19</v>
      </c>
      <c r="D130" t="s">
        <v>20</v>
      </c>
      <c r="E130">
        <v>2</v>
      </c>
      <c r="F130" s="3">
        <v>29337</v>
      </c>
      <c r="G130" s="3">
        <v>4694</v>
      </c>
      <c r="H130" t="s">
        <v>41</v>
      </c>
      <c r="I130" t="s">
        <v>26</v>
      </c>
      <c r="J130" t="b">
        <f>OR(D130="Coupé",F130&gt;=70000)</f>
        <v>0</v>
      </c>
    </row>
    <row r="131" spans="1:10" x14ac:dyDescent="0.2">
      <c r="A131" s="2" t="s">
        <v>94</v>
      </c>
      <c r="B131" t="s">
        <v>9</v>
      </c>
      <c r="C131" t="s">
        <v>10</v>
      </c>
      <c r="D131" t="s">
        <v>11</v>
      </c>
      <c r="E131">
        <v>1</v>
      </c>
      <c r="F131" s="3">
        <v>40297</v>
      </c>
      <c r="G131" s="3">
        <v>5239</v>
      </c>
      <c r="H131" t="s">
        <v>31</v>
      </c>
      <c r="I131" t="s">
        <v>28</v>
      </c>
      <c r="J131" t="b">
        <f>OR(D131="Coupé",F131&gt;=70000)</f>
        <v>0</v>
      </c>
    </row>
    <row r="132" spans="1:10" x14ac:dyDescent="0.2">
      <c r="A132" s="2" t="s">
        <v>94</v>
      </c>
      <c r="B132" t="s">
        <v>9</v>
      </c>
      <c r="C132" t="s">
        <v>47</v>
      </c>
      <c r="D132" t="s">
        <v>11</v>
      </c>
      <c r="E132">
        <v>4</v>
      </c>
      <c r="F132" s="3">
        <v>35886</v>
      </c>
      <c r="G132" s="3">
        <v>11484</v>
      </c>
      <c r="H132" t="s">
        <v>58</v>
      </c>
      <c r="I132" t="s">
        <v>26</v>
      </c>
      <c r="J132" t="b">
        <f>OR(D132="Coupé",F132&gt;=70000)</f>
        <v>0</v>
      </c>
    </row>
    <row r="133" spans="1:10" x14ac:dyDescent="0.2">
      <c r="A133" s="2" t="s">
        <v>60</v>
      </c>
      <c r="B133" t="s">
        <v>14</v>
      </c>
      <c r="C133" t="s">
        <v>33</v>
      </c>
      <c r="D133" t="s">
        <v>34</v>
      </c>
      <c r="E133">
        <v>3</v>
      </c>
      <c r="F133" s="3">
        <v>77963</v>
      </c>
      <c r="G133" s="3">
        <v>25728</v>
      </c>
      <c r="H133" t="s">
        <v>25</v>
      </c>
      <c r="I133" t="s">
        <v>17</v>
      </c>
      <c r="J133" t="b">
        <f>OR(D133="Coupé",F133&gt;=70000)</f>
        <v>1</v>
      </c>
    </row>
    <row r="134" spans="1:10" x14ac:dyDescent="0.2">
      <c r="A134" s="2" t="s">
        <v>96</v>
      </c>
      <c r="B134" t="s">
        <v>18</v>
      </c>
      <c r="C134" t="s">
        <v>55</v>
      </c>
      <c r="D134" t="s">
        <v>20</v>
      </c>
      <c r="E134">
        <v>4</v>
      </c>
      <c r="F134" s="3">
        <v>61219</v>
      </c>
      <c r="G134" s="3">
        <v>22039</v>
      </c>
      <c r="H134" t="s">
        <v>12</v>
      </c>
      <c r="I134" t="s">
        <v>26</v>
      </c>
      <c r="J134" t="b">
        <f>OR(D134="Coupé",F134&gt;=70000)</f>
        <v>0</v>
      </c>
    </row>
    <row r="135" spans="1:10" x14ac:dyDescent="0.2">
      <c r="A135" s="2" t="s">
        <v>97</v>
      </c>
      <c r="B135" t="s">
        <v>9</v>
      </c>
      <c r="C135" t="s">
        <v>36</v>
      </c>
      <c r="D135" t="s">
        <v>37</v>
      </c>
      <c r="E135">
        <v>12</v>
      </c>
      <c r="F135" s="3">
        <v>48548</v>
      </c>
      <c r="G135" s="3">
        <v>75735</v>
      </c>
      <c r="H135" t="s">
        <v>41</v>
      </c>
      <c r="I135" t="s">
        <v>26</v>
      </c>
      <c r="J135" t="b">
        <f>OR(D135="Coupé",F135&gt;=70000)</f>
        <v>0</v>
      </c>
    </row>
    <row r="136" spans="1:10" x14ac:dyDescent="0.2">
      <c r="A136" s="2" t="s">
        <v>66</v>
      </c>
      <c r="B136" t="s">
        <v>14</v>
      </c>
      <c r="C136" t="s">
        <v>33</v>
      </c>
      <c r="D136" t="s">
        <v>34</v>
      </c>
      <c r="E136">
        <v>2</v>
      </c>
      <c r="F136" s="3">
        <v>77963</v>
      </c>
      <c r="G136" s="3">
        <v>23389</v>
      </c>
      <c r="H136" t="s">
        <v>25</v>
      </c>
      <c r="I136" t="s">
        <v>13</v>
      </c>
      <c r="J136" t="b">
        <f>OR(D136="Coupé",F136&gt;=70000)</f>
        <v>1</v>
      </c>
    </row>
    <row r="137" spans="1:10" x14ac:dyDescent="0.2">
      <c r="A137" s="2" t="s">
        <v>67</v>
      </c>
      <c r="B137" t="s">
        <v>14</v>
      </c>
      <c r="C137" t="s">
        <v>33</v>
      </c>
      <c r="D137" t="s">
        <v>34</v>
      </c>
      <c r="E137">
        <v>4</v>
      </c>
      <c r="F137" s="3">
        <v>77963</v>
      </c>
      <c r="G137" s="3">
        <v>31185</v>
      </c>
      <c r="H137" t="s">
        <v>16</v>
      </c>
      <c r="I137" t="s">
        <v>17</v>
      </c>
      <c r="J137" t="b">
        <f>OR(D137="Coupé",F137&gt;=70000)</f>
        <v>1</v>
      </c>
    </row>
    <row r="138" spans="1:10" x14ac:dyDescent="0.2">
      <c r="A138" s="2" t="s">
        <v>98</v>
      </c>
      <c r="B138" t="s">
        <v>14</v>
      </c>
      <c r="C138" t="s">
        <v>53</v>
      </c>
      <c r="D138" t="s">
        <v>54</v>
      </c>
      <c r="E138">
        <v>2</v>
      </c>
      <c r="F138" s="3">
        <v>49101</v>
      </c>
      <c r="G138" s="3">
        <v>10802</v>
      </c>
      <c r="H138" t="s">
        <v>31</v>
      </c>
      <c r="I138" t="s">
        <v>26</v>
      </c>
      <c r="J138" t="b">
        <f>OR(D138="Coupé",F138&gt;=70000)</f>
        <v>0</v>
      </c>
    </row>
    <row r="139" spans="1:10" x14ac:dyDescent="0.2">
      <c r="A139" s="2" t="s">
        <v>69</v>
      </c>
      <c r="B139" t="s">
        <v>14</v>
      </c>
      <c r="C139" t="s">
        <v>33</v>
      </c>
      <c r="D139" t="s">
        <v>34</v>
      </c>
      <c r="E139">
        <v>4</v>
      </c>
      <c r="F139" s="3">
        <v>77963</v>
      </c>
      <c r="G139" s="3">
        <v>43659</v>
      </c>
      <c r="H139" t="s">
        <v>27</v>
      </c>
      <c r="I139" t="s">
        <v>28</v>
      </c>
      <c r="J139" t="b">
        <f>OR(D139="Coupé",F139&gt;=70000)</f>
        <v>1</v>
      </c>
    </row>
    <row r="140" spans="1:10" x14ac:dyDescent="0.2">
      <c r="A140" s="2" t="s">
        <v>99</v>
      </c>
      <c r="B140" t="s">
        <v>14</v>
      </c>
      <c r="C140" t="s">
        <v>49</v>
      </c>
      <c r="D140" t="s">
        <v>39</v>
      </c>
      <c r="E140">
        <v>4</v>
      </c>
      <c r="F140" s="3">
        <v>52969</v>
      </c>
      <c r="G140" s="3">
        <v>21188</v>
      </c>
      <c r="H140" t="s">
        <v>58</v>
      </c>
      <c r="I140" t="s">
        <v>28</v>
      </c>
      <c r="J140" t="b">
        <f>OR(D140="Coupé",F140&gt;=70000)</f>
        <v>0</v>
      </c>
    </row>
    <row r="141" spans="1:10" x14ac:dyDescent="0.2">
      <c r="A141" s="2" t="s">
        <v>101</v>
      </c>
      <c r="B141" t="s">
        <v>9</v>
      </c>
      <c r="C141" t="s">
        <v>10</v>
      </c>
      <c r="D141" t="s">
        <v>11</v>
      </c>
      <c r="E141">
        <v>4</v>
      </c>
      <c r="F141" s="3">
        <v>40297</v>
      </c>
      <c r="G141" s="3">
        <v>14507</v>
      </c>
      <c r="H141" t="s">
        <v>27</v>
      </c>
      <c r="I141" t="s">
        <v>22</v>
      </c>
      <c r="J141" t="b">
        <f>OR(D141="Coupé",F141&gt;=70000)</f>
        <v>0</v>
      </c>
    </row>
    <row r="142" spans="1:10" x14ac:dyDescent="0.2">
      <c r="A142" s="2" t="s">
        <v>102</v>
      </c>
      <c r="B142" t="s">
        <v>14</v>
      </c>
      <c r="C142" t="s">
        <v>53</v>
      </c>
      <c r="D142" t="s">
        <v>54</v>
      </c>
      <c r="E142">
        <v>4</v>
      </c>
      <c r="F142" s="3">
        <v>49101</v>
      </c>
      <c r="G142" s="3">
        <v>27497</v>
      </c>
      <c r="H142" t="s">
        <v>27</v>
      </c>
      <c r="I142" t="s">
        <v>22</v>
      </c>
      <c r="J142" t="b">
        <f>OR(D142="Coupé",F142&gt;=70000)</f>
        <v>0</v>
      </c>
    </row>
    <row r="143" spans="1:10" x14ac:dyDescent="0.2">
      <c r="A143" s="2" t="s">
        <v>73</v>
      </c>
      <c r="B143" t="s">
        <v>14</v>
      </c>
      <c r="C143" t="s">
        <v>33</v>
      </c>
      <c r="D143" t="s">
        <v>34</v>
      </c>
      <c r="E143">
        <v>3</v>
      </c>
      <c r="F143" s="3">
        <v>77963</v>
      </c>
      <c r="G143" s="3">
        <v>21050</v>
      </c>
      <c r="H143" t="s">
        <v>27</v>
      </c>
      <c r="I143" t="s">
        <v>17</v>
      </c>
      <c r="J143" t="b">
        <f>OR(D143="Coupé",F143&gt;=70000)</f>
        <v>1</v>
      </c>
    </row>
    <row r="144" spans="1:10" x14ac:dyDescent="0.2">
      <c r="A144" s="2" t="s">
        <v>100</v>
      </c>
      <c r="B144" t="s">
        <v>9</v>
      </c>
      <c r="C144" t="s">
        <v>38</v>
      </c>
      <c r="D144" t="s">
        <v>39</v>
      </c>
      <c r="E144">
        <v>2</v>
      </c>
      <c r="F144" s="3">
        <v>35410</v>
      </c>
      <c r="G144" s="3">
        <v>9915</v>
      </c>
      <c r="H144" t="s">
        <v>27</v>
      </c>
      <c r="I144" t="s">
        <v>28</v>
      </c>
      <c r="J144" t="b">
        <f>OR(D144="Coupé",F144&gt;=70000)</f>
        <v>0</v>
      </c>
    </row>
    <row r="145" spans="1:10" x14ac:dyDescent="0.2">
      <c r="A145" s="2" t="s">
        <v>73</v>
      </c>
      <c r="B145" t="s">
        <v>14</v>
      </c>
      <c r="C145" t="s">
        <v>33</v>
      </c>
      <c r="D145" t="s">
        <v>34</v>
      </c>
      <c r="E145">
        <v>2</v>
      </c>
      <c r="F145" s="3">
        <v>77963</v>
      </c>
      <c r="G145" s="3">
        <v>20270</v>
      </c>
      <c r="H145" t="s">
        <v>21</v>
      </c>
      <c r="I145" t="s">
        <v>26</v>
      </c>
      <c r="J145" t="b">
        <f>OR(D145="Coupé",F145&gt;=70000)</f>
        <v>1</v>
      </c>
    </row>
    <row r="146" spans="1:10" x14ac:dyDescent="0.2">
      <c r="A146" s="2" t="s">
        <v>100</v>
      </c>
      <c r="B146" t="s">
        <v>9</v>
      </c>
      <c r="C146" t="s">
        <v>47</v>
      </c>
      <c r="D146" t="s">
        <v>11</v>
      </c>
      <c r="E146">
        <v>2</v>
      </c>
      <c r="F146" s="3">
        <v>35886</v>
      </c>
      <c r="G146" s="3">
        <v>5742</v>
      </c>
      <c r="H146" t="s">
        <v>31</v>
      </c>
      <c r="I146" t="s">
        <v>13</v>
      </c>
      <c r="J146" t="b">
        <f>OR(D146="Coupé",F146&gt;=70000)</f>
        <v>0</v>
      </c>
    </row>
    <row r="147" spans="1:10" x14ac:dyDescent="0.2">
      <c r="A147" s="2" t="s">
        <v>101</v>
      </c>
      <c r="B147" t="s">
        <v>18</v>
      </c>
      <c r="C147" t="s">
        <v>30</v>
      </c>
      <c r="D147" t="s">
        <v>20</v>
      </c>
      <c r="E147">
        <v>4</v>
      </c>
      <c r="F147" s="3">
        <v>44333</v>
      </c>
      <c r="G147" s="3">
        <v>23053</v>
      </c>
      <c r="H147" t="s">
        <v>25</v>
      </c>
      <c r="I147" t="s">
        <v>13</v>
      </c>
      <c r="J147" t="b">
        <f>OR(D147="Coupé",F147&gt;=70000)</f>
        <v>0</v>
      </c>
    </row>
    <row r="148" spans="1:10" x14ac:dyDescent="0.2">
      <c r="A148" s="2" t="s">
        <v>74</v>
      </c>
      <c r="B148" t="s">
        <v>14</v>
      </c>
      <c r="C148" t="s">
        <v>33</v>
      </c>
      <c r="D148" t="s">
        <v>34</v>
      </c>
      <c r="E148">
        <v>1</v>
      </c>
      <c r="F148" s="3">
        <v>77963</v>
      </c>
      <c r="G148" s="3">
        <v>10915</v>
      </c>
      <c r="H148" t="s">
        <v>41</v>
      </c>
      <c r="I148" t="s">
        <v>26</v>
      </c>
      <c r="J148" t="b">
        <f>OR(D148="Coupé",F148&gt;=70000)</f>
        <v>1</v>
      </c>
    </row>
    <row r="149" spans="1:10" x14ac:dyDescent="0.2">
      <c r="A149" s="2" t="s">
        <v>114</v>
      </c>
      <c r="B149" t="s">
        <v>9</v>
      </c>
      <c r="C149" t="s">
        <v>10</v>
      </c>
      <c r="D149" t="s">
        <v>11</v>
      </c>
      <c r="E149">
        <v>3</v>
      </c>
      <c r="F149" s="3">
        <v>40297</v>
      </c>
      <c r="G149" s="3">
        <v>13298</v>
      </c>
      <c r="H149" t="s">
        <v>58</v>
      </c>
      <c r="I149" t="s">
        <v>22</v>
      </c>
      <c r="J149" t="b">
        <f>OR(D149="Coupé",F149&gt;=70000)</f>
        <v>0</v>
      </c>
    </row>
    <row r="150" spans="1:10" x14ac:dyDescent="0.2">
      <c r="A150" s="2" t="s">
        <v>100</v>
      </c>
      <c r="B150" t="s">
        <v>18</v>
      </c>
      <c r="C150" t="s">
        <v>30</v>
      </c>
      <c r="D150" t="s">
        <v>20</v>
      </c>
      <c r="E150">
        <v>1</v>
      </c>
      <c r="F150" s="3">
        <v>44333</v>
      </c>
      <c r="G150" s="3">
        <v>4433</v>
      </c>
      <c r="H150" t="s">
        <v>25</v>
      </c>
      <c r="I150" t="s">
        <v>22</v>
      </c>
      <c r="J150" t="b">
        <f>OR(D150="Coupé",F150&gt;=70000)</f>
        <v>0</v>
      </c>
    </row>
    <row r="151" spans="1:10" x14ac:dyDescent="0.2">
      <c r="A151" s="2" t="s">
        <v>103</v>
      </c>
      <c r="B151" t="s">
        <v>18</v>
      </c>
      <c r="C151" t="s">
        <v>19</v>
      </c>
      <c r="D151" t="s">
        <v>20</v>
      </c>
      <c r="E151">
        <v>1</v>
      </c>
      <c r="F151" s="3">
        <v>29337</v>
      </c>
      <c r="G151" s="3">
        <v>4401</v>
      </c>
      <c r="H151" t="s">
        <v>16</v>
      </c>
      <c r="I151" t="s">
        <v>28</v>
      </c>
      <c r="J151" t="b">
        <f>OR(D151="Coupé",F151&gt;=70000)</f>
        <v>0</v>
      </c>
    </row>
    <row r="152" spans="1:10" x14ac:dyDescent="0.2">
      <c r="A152" s="2" t="s">
        <v>103</v>
      </c>
      <c r="B152" t="s">
        <v>9</v>
      </c>
      <c r="C152" t="s">
        <v>36</v>
      </c>
      <c r="D152" t="s">
        <v>37</v>
      </c>
      <c r="E152">
        <v>1</v>
      </c>
      <c r="F152" s="3">
        <v>48548</v>
      </c>
      <c r="G152" s="3">
        <v>7282</v>
      </c>
      <c r="H152" t="s">
        <v>31</v>
      </c>
      <c r="I152" t="s">
        <v>13</v>
      </c>
      <c r="J152" t="b">
        <f>OR(D152="Coupé",F152&gt;=70000)</f>
        <v>0</v>
      </c>
    </row>
    <row r="153" spans="1:10" x14ac:dyDescent="0.2">
      <c r="A153" s="2" t="s">
        <v>78</v>
      </c>
      <c r="B153" t="s">
        <v>14</v>
      </c>
      <c r="C153" t="s">
        <v>33</v>
      </c>
      <c r="D153" t="s">
        <v>34</v>
      </c>
      <c r="E153">
        <v>4</v>
      </c>
      <c r="F153" s="3">
        <v>77963</v>
      </c>
      <c r="G153" s="3">
        <v>24948</v>
      </c>
      <c r="H153" t="s">
        <v>31</v>
      </c>
      <c r="I153" t="s">
        <v>13</v>
      </c>
      <c r="J153" t="b">
        <f>OR(D153="Coupé",F153&gt;=70000)</f>
        <v>1</v>
      </c>
    </row>
    <row r="154" spans="1:10" x14ac:dyDescent="0.2">
      <c r="A154" s="2" t="s">
        <v>104</v>
      </c>
      <c r="B154" t="s">
        <v>18</v>
      </c>
      <c r="C154" t="s">
        <v>55</v>
      </c>
      <c r="D154" t="s">
        <v>20</v>
      </c>
      <c r="E154">
        <v>3</v>
      </c>
      <c r="F154" s="3">
        <v>61219</v>
      </c>
      <c r="G154" s="3">
        <v>14693</v>
      </c>
      <c r="H154" t="s">
        <v>12</v>
      </c>
      <c r="I154" t="s">
        <v>28</v>
      </c>
      <c r="J154" t="b">
        <f>OR(D154="Coupé",F154&gt;=70000)</f>
        <v>0</v>
      </c>
    </row>
    <row r="155" spans="1:10" x14ac:dyDescent="0.2">
      <c r="A155" s="2" t="s">
        <v>104</v>
      </c>
      <c r="B155" t="s">
        <v>14</v>
      </c>
      <c r="C155" t="s">
        <v>53</v>
      </c>
      <c r="D155" t="s">
        <v>54</v>
      </c>
      <c r="E155">
        <v>1</v>
      </c>
      <c r="F155" s="3">
        <v>49101</v>
      </c>
      <c r="G155" s="3">
        <v>3928</v>
      </c>
      <c r="H155" t="s">
        <v>58</v>
      </c>
      <c r="I155" t="s">
        <v>13</v>
      </c>
      <c r="J155" t="b">
        <f>OR(D155="Coupé",F155&gt;=70000)</f>
        <v>0</v>
      </c>
    </row>
    <row r="156" spans="1:10" x14ac:dyDescent="0.2">
      <c r="A156" s="2" t="s">
        <v>78</v>
      </c>
      <c r="B156" t="s">
        <v>14</v>
      </c>
      <c r="C156" t="s">
        <v>33</v>
      </c>
      <c r="D156" t="s">
        <v>34</v>
      </c>
      <c r="E156">
        <v>7</v>
      </c>
      <c r="F156" s="3">
        <v>77963</v>
      </c>
      <c r="G156" s="3">
        <v>35083</v>
      </c>
      <c r="H156" t="s">
        <v>21</v>
      </c>
      <c r="I156" t="s">
        <v>22</v>
      </c>
      <c r="J156" t="b">
        <f>OR(D156="Coupé",F156&gt;=70000)</f>
        <v>1</v>
      </c>
    </row>
    <row r="157" spans="1:10" x14ac:dyDescent="0.2">
      <c r="A157" s="2" t="s">
        <v>105</v>
      </c>
      <c r="B157" t="s">
        <v>14</v>
      </c>
      <c r="C157" t="s">
        <v>15</v>
      </c>
      <c r="D157" t="s">
        <v>11</v>
      </c>
      <c r="E157">
        <v>4</v>
      </c>
      <c r="F157" s="3">
        <v>65856</v>
      </c>
      <c r="G157" s="3">
        <v>39514</v>
      </c>
      <c r="H157" t="s">
        <v>12</v>
      </c>
      <c r="I157" t="s">
        <v>28</v>
      </c>
      <c r="J157" t="b">
        <f>OR(D157="Coupé",F157&gt;=70000)</f>
        <v>0</v>
      </c>
    </row>
    <row r="158" spans="1:10" x14ac:dyDescent="0.2">
      <c r="A158" s="2" t="s">
        <v>105</v>
      </c>
      <c r="B158" t="s">
        <v>14</v>
      </c>
      <c r="C158" t="s">
        <v>15</v>
      </c>
      <c r="D158" t="s">
        <v>11</v>
      </c>
      <c r="E158">
        <v>1</v>
      </c>
      <c r="F158" s="3">
        <v>65856</v>
      </c>
      <c r="G158" s="3">
        <v>5927</v>
      </c>
      <c r="H158" t="s">
        <v>25</v>
      </c>
      <c r="I158" t="s">
        <v>26</v>
      </c>
      <c r="J158" t="b">
        <f>OR(D158="Coupé",F158&gt;=70000)</f>
        <v>0</v>
      </c>
    </row>
    <row r="159" spans="1:10" x14ac:dyDescent="0.2">
      <c r="A159" s="2" t="s">
        <v>106</v>
      </c>
      <c r="B159" t="s">
        <v>9</v>
      </c>
      <c r="C159" t="s">
        <v>10</v>
      </c>
      <c r="D159" t="s">
        <v>11</v>
      </c>
      <c r="E159">
        <v>3</v>
      </c>
      <c r="F159" s="3">
        <v>40297</v>
      </c>
      <c r="G159" s="3">
        <v>14507</v>
      </c>
      <c r="H159" t="s">
        <v>31</v>
      </c>
      <c r="I159" t="s">
        <v>26</v>
      </c>
      <c r="J159" t="b">
        <f>OR(D159="Coupé",F159&gt;=70000)</f>
        <v>0</v>
      </c>
    </row>
    <row r="160" spans="1:10" x14ac:dyDescent="0.2">
      <c r="A160" s="2" t="s">
        <v>106</v>
      </c>
      <c r="B160" t="s">
        <v>9</v>
      </c>
      <c r="C160" t="s">
        <v>38</v>
      </c>
      <c r="D160" t="s">
        <v>39</v>
      </c>
      <c r="E160">
        <v>1</v>
      </c>
      <c r="F160" s="3">
        <v>35410</v>
      </c>
      <c r="G160" s="3">
        <v>4249</v>
      </c>
      <c r="H160" t="s">
        <v>58</v>
      </c>
      <c r="I160" t="s">
        <v>28</v>
      </c>
      <c r="J160" t="b">
        <f>OR(D160="Coupé",F160&gt;=70000)</f>
        <v>0</v>
      </c>
    </row>
    <row r="161" spans="1:10" x14ac:dyDescent="0.2">
      <c r="A161" s="2" t="s">
        <v>106</v>
      </c>
      <c r="B161" t="s">
        <v>14</v>
      </c>
      <c r="C161" t="s">
        <v>15</v>
      </c>
      <c r="D161" t="s">
        <v>11</v>
      </c>
      <c r="E161">
        <v>1</v>
      </c>
      <c r="F161" s="3">
        <v>65856</v>
      </c>
      <c r="G161" s="3">
        <v>7244</v>
      </c>
      <c r="H161" t="s">
        <v>41</v>
      </c>
      <c r="I161" t="s">
        <v>28</v>
      </c>
      <c r="J161" t="b">
        <f>OR(D161="Coupé",F161&gt;=70000)</f>
        <v>0</v>
      </c>
    </row>
    <row r="162" spans="1:10" x14ac:dyDescent="0.2">
      <c r="A162" s="2" t="s">
        <v>106</v>
      </c>
      <c r="B162" t="s">
        <v>18</v>
      </c>
      <c r="C162" t="s">
        <v>55</v>
      </c>
      <c r="D162" t="s">
        <v>20</v>
      </c>
      <c r="E162">
        <v>3</v>
      </c>
      <c r="F162" s="3">
        <v>61219</v>
      </c>
      <c r="G162" s="3">
        <v>14693</v>
      </c>
      <c r="H162" t="s">
        <v>21</v>
      </c>
      <c r="I162" t="s">
        <v>26</v>
      </c>
      <c r="J162" t="b">
        <f>OR(D162="Coupé",F162&gt;=70000)</f>
        <v>0</v>
      </c>
    </row>
    <row r="163" spans="1:10" x14ac:dyDescent="0.2">
      <c r="A163" s="2" t="s">
        <v>107</v>
      </c>
      <c r="B163" t="s">
        <v>14</v>
      </c>
      <c r="C163" t="s">
        <v>15</v>
      </c>
      <c r="D163" t="s">
        <v>11</v>
      </c>
      <c r="E163">
        <v>1</v>
      </c>
      <c r="F163" s="3">
        <v>65856</v>
      </c>
      <c r="G163" s="3">
        <v>5268</v>
      </c>
      <c r="H163" t="s">
        <v>25</v>
      </c>
      <c r="I163" t="s">
        <v>28</v>
      </c>
      <c r="J163" t="b">
        <f>OR(D163="Coupé",F163&gt;=70000)</f>
        <v>0</v>
      </c>
    </row>
    <row r="164" spans="1:10" x14ac:dyDescent="0.2">
      <c r="A164" s="2" t="s">
        <v>108</v>
      </c>
      <c r="B164" t="s">
        <v>9</v>
      </c>
      <c r="C164" t="s">
        <v>36</v>
      </c>
      <c r="D164" t="s">
        <v>37</v>
      </c>
      <c r="E164">
        <v>4</v>
      </c>
      <c r="F164" s="3">
        <v>48548</v>
      </c>
      <c r="G164" s="3">
        <v>25245</v>
      </c>
      <c r="H164" t="s">
        <v>25</v>
      </c>
      <c r="I164" t="s">
        <v>28</v>
      </c>
      <c r="J164" t="b">
        <f>OR(D164="Coupé",F164&gt;=70000)</f>
        <v>0</v>
      </c>
    </row>
    <row r="165" spans="1:10" x14ac:dyDescent="0.2">
      <c r="A165" s="2" t="s">
        <v>108</v>
      </c>
      <c r="B165" t="s">
        <v>9</v>
      </c>
      <c r="C165" t="s">
        <v>10</v>
      </c>
      <c r="D165" t="s">
        <v>11</v>
      </c>
      <c r="E165">
        <v>3</v>
      </c>
      <c r="F165" s="3">
        <v>40297</v>
      </c>
      <c r="G165" s="3">
        <v>14507</v>
      </c>
      <c r="H165" t="s">
        <v>25</v>
      </c>
      <c r="I165" t="s">
        <v>26</v>
      </c>
      <c r="J165" t="b">
        <f>OR(D165="Coupé",F165&gt;=70000)</f>
        <v>0</v>
      </c>
    </row>
    <row r="166" spans="1:10" x14ac:dyDescent="0.2">
      <c r="A166" s="2" t="s">
        <v>109</v>
      </c>
      <c r="B166" t="s">
        <v>14</v>
      </c>
      <c r="C166" t="s">
        <v>53</v>
      </c>
      <c r="D166" t="s">
        <v>54</v>
      </c>
      <c r="E166">
        <v>1</v>
      </c>
      <c r="F166" s="3">
        <v>49101</v>
      </c>
      <c r="G166" s="3">
        <v>4910</v>
      </c>
      <c r="H166" t="s">
        <v>25</v>
      </c>
      <c r="I166" t="s">
        <v>13</v>
      </c>
      <c r="J166" t="b">
        <f>OR(D166="Coupé",F166&gt;=70000)</f>
        <v>0</v>
      </c>
    </row>
    <row r="167" spans="1:10" x14ac:dyDescent="0.2">
      <c r="A167" s="2" t="s">
        <v>110</v>
      </c>
      <c r="B167" t="s">
        <v>14</v>
      </c>
      <c r="C167" t="s">
        <v>15</v>
      </c>
      <c r="D167" t="s">
        <v>11</v>
      </c>
      <c r="E167">
        <v>2</v>
      </c>
      <c r="F167" s="3">
        <v>65856</v>
      </c>
      <c r="G167" s="3">
        <v>15805</v>
      </c>
      <c r="H167" t="s">
        <v>25</v>
      </c>
      <c r="I167" t="s">
        <v>17</v>
      </c>
      <c r="J167" t="b">
        <f>OR(D167="Coupé",F167&gt;=70000)</f>
        <v>0</v>
      </c>
    </row>
    <row r="168" spans="1:10" x14ac:dyDescent="0.2">
      <c r="A168" s="2" t="s">
        <v>110</v>
      </c>
      <c r="B168" t="s">
        <v>9</v>
      </c>
      <c r="C168" t="s">
        <v>10</v>
      </c>
      <c r="D168" t="s">
        <v>11</v>
      </c>
      <c r="E168">
        <v>3</v>
      </c>
      <c r="F168" s="3">
        <v>40297</v>
      </c>
      <c r="G168" s="3">
        <v>18134</v>
      </c>
      <c r="H168" t="s">
        <v>12</v>
      </c>
      <c r="I168" t="s">
        <v>26</v>
      </c>
      <c r="J168" t="b">
        <f>OR(D168="Coupé",F168&gt;=70000)</f>
        <v>0</v>
      </c>
    </row>
    <row r="169" spans="1:10" x14ac:dyDescent="0.2">
      <c r="A169" s="2" t="s">
        <v>89</v>
      </c>
      <c r="B169" t="s">
        <v>14</v>
      </c>
      <c r="C169" t="s">
        <v>33</v>
      </c>
      <c r="D169" t="s">
        <v>34</v>
      </c>
      <c r="E169">
        <v>3</v>
      </c>
      <c r="F169" s="3">
        <v>77963</v>
      </c>
      <c r="G169" s="3">
        <v>30406</v>
      </c>
      <c r="H169" t="s">
        <v>41</v>
      </c>
      <c r="I169" t="s">
        <v>17</v>
      </c>
      <c r="J169" t="b">
        <f>OR(D169="Coupé",F169&gt;=70000)</f>
        <v>1</v>
      </c>
    </row>
    <row r="170" spans="1:10" x14ac:dyDescent="0.2">
      <c r="A170" s="2" t="s">
        <v>104</v>
      </c>
      <c r="B170" t="s">
        <v>14</v>
      </c>
      <c r="C170" t="s">
        <v>33</v>
      </c>
      <c r="D170" t="s">
        <v>34</v>
      </c>
      <c r="E170">
        <v>1</v>
      </c>
      <c r="F170" s="3">
        <v>77963</v>
      </c>
      <c r="G170" s="3">
        <v>6237</v>
      </c>
      <c r="H170" t="s">
        <v>25</v>
      </c>
      <c r="I170" t="s">
        <v>17</v>
      </c>
      <c r="J170" t="b">
        <f>OR(D170="Coupé",F170&gt;=70000)</f>
        <v>1</v>
      </c>
    </row>
    <row r="171" spans="1:10" x14ac:dyDescent="0.2">
      <c r="A171" s="2" t="s">
        <v>111</v>
      </c>
      <c r="B171" t="s">
        <v>9</v>
      </c>
      <c r="C171" t="s">
        <v>47</v>
      </c>
      <c r="D171" t="s">
        <v>11</v>
      </c>
      <c r="E171">
        <v>4</v>
      </c>
      <c r="F171" s="3">
        <v>35886</v>
      </c>
      <c r="G171" s="3">
        <v>11484</v>
      </c>
      <c r="H171" t="s">
        <v>41</v>
      </c>
      <c r="I171" t="s">
        <v>28</v>
      </c>
      <c r="J171" t="b">
        <f>OR(D171="Coupé",F171&gt;=70000)</f>
        <v>0</v>
      </c>
    </row>
    <row r="172" spans="1:10" x14ac:dyDescent="0.2">
      <c r="A172" s="2" t="s">
        <v>111</v>
      </c>
      <c r="B172" t="s">
        <v>18</v>
      </c>
      <c r="C172" t="s">
        <v>55</v>
      </c>
      <c r="D172" t="s">
        <v>20</v>
      </c>
      <c r="E172">
        <v>4</v>
      </c>
      <c r="F172" s="3">
        <v>61219</v>
      </c>
      <c r="G172" s="3">
        <v>19590</v>
      </c>
      <c r="H172" t="s">
        <v>58</v>
      </c>
      <c r="I172" t="s">
        <v>28</v>
      </c>
      <c r="J172" t="b">
        <f>OR(D172="Coupé",F172&gt;=70000)</f>
        <v>0</v>
      </c>
    </row>
    <row r="173" spans="1:10" x14ac:dyDescent="0.2">
      <c r="A173" s="2" t="s">
        <v>112</v>
      </c>
      <c r="B173" t="s">
        <v>14</v>
      </c>
      <c r="C173" t="s">
        <v>53</v>
      </c>
      <c r="D173" t="s">
        <v>54</v>
      </c>
      <c r="E173">
        <v>3</v>
      </c>
      <c r="F173" s="3">
        <v>49101</v>
      </c>
      <c r="G173" s="3">
        <v>19149</v>
      </c>
      <c r="H173" t="s">
        <v>27</v>
      </c>
      <c r="I173" t="s">
        <v>28</v>
      </c>
      <c r="J173" t="b">
        <f>OR(D173="Coupé",F173&gt;=70000)</f>
        <v>0</v>
      </c>
    </row>
    <row r="174" spans="1:10" x14ac:dyDescent="0.2">
      <c r="A174" s="2" t="s">
        <v>112</v>
      </c>
      <c r="B174" t="s">
        <v>14</v>
      </c>
      <c r="C174" t="s">
        <v>15</v>
      </c>
      <c r="D174" t="s">
        <v>11</v>
      </c>
      <c r="E174">
        <v>3</v>
      </c>
      <c r="F174" s="3">
        <v>65856</v>
      </c>
      <c r="G174" s="3">
        <v>23708</v>
      </c>
      <c r="H174" t="s">
        <v>31</v>
      </c>
      <c r="I174" t="s">
        <v>26</v>
      </c>
      <c r="J174" t="b">
        <f>OR(D174="Coupé",F174&gt;=70000)</f>
        <v>0</v>
      </c>
    </row>
    <row r="175" spans="1:10" x14ac:dyDescent="0.2">
      <c r="A175" s="2" t="s">
        <v>102</v>
      </c>
      <c r="B175" t="s">
        <v>18</v>
      </c>
      <c r="C175" t="s">
        <v>55</v>
      </c>
      <c r="D175" t="s">
        <v>20</v>
      </c>
      <c r="E175">
        <v>1</v>
      </c>
      <c r="F175" s="3">
        <v>61219</v>
      </c>
      <c r="G175" s="3">
        <v>9183</v>
      </c>
      <c r="H175" t="s">
        <v>58</v>
      </c>
      <c r="I175" t="s">
        <v>22</v>
      </c>
      <c r="J175" t="b">
        <f>OR(D175="Coupé",F175&gt;=70000)</f>
        <v>0</v>
      </c>
    </row>
    <row r="176" spans="1:10" x14ac:dyDescent="0.2">
      <c r="A176" s="2" t="s">
        <v>104</v>
      </c>
      <c r="B176" t="s">
        <v>14</v>
      </c>
      <c r="C176" t="s">
        <v>33</v>
      </c>
      <c r="D176" t="s">
        <v>34</v>
      </c>
      <c r="E176">
        <v>4</v>
      </c>
      <c r="F176" s="3">
        <v>77963</v>
      </c>
      <c r="G176" s="3">
        <v>40541</v>
      </c>
      <c r="H176" t="s">
        <v>41</v>
      </c>
      <c r="I176" t="s">
        <v>13</v>
      </c>
      <c r="J176" t="b">
        <f>OR(D176="Coupé",F176&gt;=70000)</f>
        <v>1</v>
      </c>
    </row>
    <row r="177" spans="1:10" x14ac:dyDescent="0.2">
      <c r="A177" s="2" t="s">
        <v>111</v>
      </c>
      <c r="B177" t="s">
        <v>14</v>
      </c>
      <c r="C177" t="s">
        <v>33</v>
      </c>
      <c r="D177" t="s">
        <v>34</v>
      </c>
      <c r="E177">
        <v>4</v>
      </c>
      <c r="F177" s="3">
        <v>77963</v>
      </c>
      <c r="G177" s="3">
        <v>40541</v>
      </c>
      <c r="H177" t="s">
        <v>27</v>
      </c>
      <c r="I177" t="s">
        <v>17</v>
      </c>
      <c r="J177" t="b">
        <f>OR(D177="Coupé",F177&gt;=70000)</f>
        <v>1</v>
      </c>
    </row>
    <row r="178" spans="1:10" x14ac:dyDescent="0.2">
      <c r="A178" s="2" t="s">
        <v>100</v>
      </c>
      <c r="B178" t="s">
        <v>14</v>
      </c>
      <c r="C178" t="s">
        <v>33</v>
      </c>
      <c r="D178" t="s">
        <v>34</v>
      </c>
      <c r="E178">
        <v>1</v>
      </c>
      <c r="F178" s="3">
        <v>77963</v>
      </c>
      <c r="G178" s="3">
        <v>10915</v>
      </c>
      <c r="H178" t="s">
        <v>21</v>
      </c>
      <c r="I178" t="s">
        <v>22</v>
      </c>
      <c r="J178" t="b">
        <f>OR(D178="Coupé",F178&gt;=70000)</f>
        <v>1</v>
      </c>
    </row>
    <row r="179" spans="1:10" x14ac:dyDescent="0.2">
      <c r="A179" s="2" t="s">
        <v>113</v>
      </c>
      <c r="B179" t="s">
        <v>18</v>
      </c>
      <c r="C179" t="s">
        <v>30</v>
      </c>
      <c r="D179" t="s">
        <v>20</v>
      </c>
      <c r="E179">
        <v>3</v>
      </c>
      <c r="F179" s="3">
        <v>44333</v>
      </c>
      <c r="G179" s="3">
        <v>13300</v>
      </c>
      <c r="H179" t="s">
        <v>27</v>
      </c>
      <c r="I179" t="s">
        <v>17</v>
      </c>
      <c r="J179" t="b">
        <f>OR(D179="Coupé",F179&gt;=70000)</f>
        <v>0</v>
      </c>
    </row>
    <row r="180" spans="1:10" x14ac:dyDescent="0.2">
      <c r="A180" s="2" t="s">
        <v>112</v>
      </c>
      <c r="B180" t="s">
        <v>14</v>
      </c>
      <c r="C180" t="s">
        <v>33</v>
      </c>
      <c r="D180" t="s">
        <v>34</v>
      </c>
      <c r="E180">
        <v>1</v>
      </c>
      <c r="F180" s="3">
        <v>77963</v>
      </c>
      <c r="G180" s="3">
        <v>7017</v>
      </c>
      <c r="H180" t="s">
        <v>58</v>
      </c>
      <c r="I180" t="s">
        <v>26</v>
      </c>
      <c r="J180" t="b">
        <f>OR(D180="Coupé",F180&gt;=70000)</f>
        <v>1</v>
      </c>
    </row>
    <row r="181" spans="1:10" x14ac:dyDescent="0.2">
      <c r="A181" s="2" t="s">
        <v>114</v>
      </c>
      <c r="B181" t="s">
        <v>9</v>
      </c>
      <c r="C181" t="s">
        <v>10</v>
      </c>
      <c r="D181" t="s">
        <v>11</v>
      </c>
      <c r="E181">
        <v>3</v>
      </c>
      <c r="F181" s="3">
        <v>40297</v>
      </c>
      <c r="G181" s="3">
        <v>14507</v>
      </c>
      <c r="H181" t="s">
        <v>31</v>
      </c>
      <c r="I181" t="s">
        <v>26</v>
      </c>
      <c r="J181" t="b">
        <f>OR(D181="Coupé",F181&gt;=70000)</f>
        <v>0</v>
      </c>
    </row>
    <row r="182" spans="1:10" x14ac:dyDescent="0.2">
      <c r="A182" s="2" t="s">
        <v>112</v>
      </c>
      <c r="B182" t="s">
        <v>14</v>
      </c>
      <c r="C182" t="s">
        <v>49</v>
      </c>
      <c r="D182" t="s">
        <v>39</v>
      </c>
      <c r="E182">
        <v>1</v>
      </c>
      <c r="F182" s="3">
        <v>52969</v>
      </c>
      <c r="G182" s="3">
        <v>7945</v>
      </c>
      <c r="H182" t="s">
        <v>21</v>
      </c>
      <c r="I182" t="s">
        <v>22</v>
      </c>
      <c r="J182" t="b">
        <f>OR(D182="Coupé",F182&gt;=70000)</f>
        <v>0</v>
      </c>
    </row>
    <row r="183" spans="1:10" x14ac:dyDescent="0.2">
      <c r="A183" s="2" t="s">
        <v>112</v>
      </c>
      <c r="B183" t="s">
        <v>14</v>
      </c>
      <c r="C183" t="s">
        <v>33</v>
      </c>
      <c r="D183" t="s">
        <v>34</v>
      </c>
      <c r="E183">
        <v>2</v>
      </c>
      <c r="F183" s="3">
        <v>77963</v>
      </c>
      <c r="G183" s="3">
        <v>21830</v>
      </c>
      <c r="H183" t="s">
        <v>27</v>
      </c>
      <c r="I183" t="s">
        <v>28</v>
      </c>
      <c r="J183" t="b">
        <f>OR(D183="Coupé",F183&gt;=70000)</f>
        <v>1</v>
      </c>
    </row>
    <row r="184" spans="1:10" x14ac:dyDescent="0.2">
      <c r="A184" s="2" t="s">
        <v>114</v>
      </c>
      <c r="B184" t="s">
        <v>14</v>
      </c>
      <c r="C184" t="s">
        <v>53</v>
      </c>
      <c r="D184" t="s">
        <v>54</v>
      </c>
      <c r="E184">
        <v>2</v>
      </c>
      <c r="F184" s="3">
        <v>49101</v>
      </c>
      <c r="G184" s="3">
        <v>13748</v>
      </c>
      <c r="H184" t="s">
        <v>31</v>
      </c>
      <c r="I184" t="s">
        <v>28</v>
      </c>
      <c r="J184" t="b">
        <f>OR(D184="Coupé",F184&gt;=70000)</f>
        <v>0</v>
      </c>
    </row>
    <row r="185" spans="1:10" x14ac:dyDescent="0.2">
      <c r="A185" s="2" t="s">
        <v>115</v>
      </c>
      <c r="B185" t="s">
        <v>9</v>
      </c>
      <c r="C185" t="s">
        <v>38</v>
      </c>
      <c r="D185" t="s">
        <v>39</v>
      </c>
      <c r="E185">
        <v>1</v>
      </c>
      <c r="F185" s="3">
        <v>35410</v>
      </c>
      <c r="G185" s="3">
        <v>3895</v>
      </c>
      <c r="H185" t="s">
        <v>12</v>
      </c>
      <c r="I185" t="s">
        <v>28</v>
      </c>
      <c r="J185" t="b">
        <f>OR(D185="Coupé",F185&gt;=70000)</f>
        <v>0</v>
      </c>
    </row>
    <row r="186" spans="1:10" x14ac:dyDescent="0.2">
      <c r="A186" s="2" t="s">
        <v>116</v>
      </c>
      <c r="B186" t="s">
        <v>14</v>
      </c>
      <c r="C186" t="s">
        <v>53</v>
      </c>
      <c r="D186" t="s">
        <v>54</v>
      </c>
      <c r="E186">
        <v>2</v>
      </c>
      <c r="F186" s="3">
        <v>49101</v>
      </c>
      <c r="G186" s="3">
        <v>13748</v>
      </c>
      <c r="H186" t="s">
        <v>27</v>
      </c>
      <c r="I186" t="s">
        <v>26</v>
      </c>
      <c r="J186" t="b">
        <f>OR(D186="Coupé",F186&gt;=70000)</f>
        <v>0</v>
      </c>
    </row>
    <row r="187" spans="1:10" x14ac:dyDescent="0.2">
      <c r="A187" s="2" t="s">
        <v>116</v>
      </c>
      <c r="B187" t="s">
        <v>18</v>
      </c>
      <c r="C187" t="s">
        <v>19</v>
      </c>
      <c r="D187" t="s">
        <v>20</v>
      </c>
      <c r="E187">
        <v>3</v>
      </c>
      <c r="F187" s="3">
        <v>29337</v>
      </c>
      <c r="G187" s="3">
        <v>7921</v>
      </c>
      <c r="H187" t="s">
        <v>31</v>
      </c>
      <c r="I187" t="s">
        <v>13</v>
      </c>
      <c r="J187" t="b">
        <f>OR(D187="Coupé",F187&gt;=70000)</f>
        <v>0</v>
      </c>
    </row>
    <row r="188" spans="1:10" x14ac:dyDescent="0.2">
      <c r="A188" s="2" t="s">
        <v>117</v>
      </c>
      <c r="B188" t="s">
        <v>9</v>
      </c>
      <c r="C188" t="s">
        <v>10</v>
      </c>
      <c r="D188" t="s">
        <v>11</v>
      </c>
      <c r="E188">
        <v>1</v>
      </c>
      <c r="F188" s="3">
        <v>40297</v>
      </c>
      <c r="G188" s="3">
        <v>5239</v>
      </c>
      <c r="H188" t="s">
        <v>25</v>
      </c>
      <c r="I188" t="s">
        <v>13</v>
      </c>
      <c r="J188" t="b">
        <f>OR(D188="Coupé",F188&gt;=70000)</f>
        <v>0</v>
      </c>
    </row>
    <row r="189" spans="1:10" x14ac:dyDescent="0.2">
      <c r="A189" s="2" t="s">
        <v>117</v>
      </c>
      <c r="B189" t="s">
        <v>9</v>
      </c>
      <c r="C189" t="s">
        <v>36</v>
      </c>
      <c r="D189" t="s">
        <v>37</v>
      </c>
      <c r="E189">
        <v>4</v>
      </c>
      <c r="F189" s="3">
        <v>48548</v>
      </c>
      <c r="G189" s="3">
        <v>25245</v>
      </c>
      <c r="H189" t="s">
        <v>16</v>
      </c>
      <c r="I189" t="s">
        <v>28</v>
      </c>
      <c r="J189" t="b">
        <f>OR(D189="Coupé",F189&gt;=70000)</f>
        <v>0</v>
      </c>
    </row>
    <row r="190" spans="1:10" x14ac:dyDescent="0.2">
      <c r="A190" s="2" t="s">
        <v>118</v>
      </c>
      <c r="B190" t="s">
        <v>9</v>
      </c>
      <c r="C190" t="s">
        <v>10</v>
      </c>
      <c r="D190" t="s">
        <v>11</v>
      </c>
      <c r="E190">
        <v>3</v>
      </c>
      <c r="F190" s="3">
        <v>40297</v>
      </c>
      <c r="G190" s="3">
        <v>12089</v>
      </c>
      <c r="H190" t="s">
        <v>21</v>
      </c>
      <c r="I190" t="s">
        <v>28</v>
      </c>
      <c r="J190" t="b">
        <f>OR(D190="Coupé",F190&gt;=70000)</f>
        <v>0</v>
      </c>
    </row>
    <row r="191" spans="1:10" x14ac:dyDescent="0.2">
      <c r="A191" s="2" t="s">
        <v>118</v>
      </c>
      <c r="B191" t="s">
        <v>9</v>
      </c>
      <c r="C191" t="s">
        <v>36</v>
      </c>
      <c r="D191" t="s">
        <v>37</v>
      </c>
      <c r="E191">
        <v>1</v>
      </c>
      <c r="F191" s="3">
        <v>48548</v>
      </c>
      <c r="G191" s="3">
        <v>6311</v>
      </c>
      <c r="H191" t="s">
        <v>27</v>
      </c>
      <c r="I191" t="s">
        <v>26</v>
      </c>
      <c r="J191" t="b">
        <f>OR(D191="Coupé",F191&gt;=70000)</f>
        <v>0</v>
      </c>
    </row>
    <row r="192" spans="1:10" x14ac:dyDescent="0.2">
      <c r="A192" s="2" t="s">
        <v>118</v>
      </c>
      <c r="B192" t="s">
        <v>18</v>
      </c>
      <c r="C192" t="s">
        <v>30</v>
      </c>
      <c r="D192" t="s">
        <v>20</v>
      </c>
      <c r="E192">
        <v>1</v>
      </c>
      <c r="F192" s="3">
        <v>44333</v>
      </c>
      <c r="G192" s="3">
        <v>4433</v>
      </c>
      <c r="H192" t="s">
        <v>41</v>
      </c>
      <c r="I192" t="s">
        <v>28</v>
      </c>
      <c r="J192" t="b">
        <f>OR(D192="Coupé",F192&gt;=70000)</f>
        <v>0</v>
      </c>
    </row>
    <row r="193" spans="1:10" x14ac:dyDescent="0.2">
      <c r="A193" s="2" t="s">
        <v>118</v>
      </c>
      <c r="B193" t="s">
        <v>14</v>
      </c>
      <c r="C193" t="s">
        <v>15</v>
      </c>
      <c r="D193" t="s">
        <v>11</v>
      </c>
      <c r="E193">
        <v>4</v>
      </c>
      <c r="F193" s="3">
        <v>65856</v>
      </c>
      <c r="G193" s="3">
        <v>36879</v>
      </c>
      <c r="H193" t="s">
        <v>27</v>
      </c>
      <c r="I193" t="s">
        <v>17</v>
      </c>
      <c r="J193" t="b">
        <f>OR(D193="Coupé",F193&gt;=70000)</f>
        <v>0</v>
      </c>
    </row>
    <row r="194" spans="1:10" x14ac:dyDescent="0.2">
      <c r="A194" s="2" t="s">
        <v>119</v>
      </c>
      <c r="B194" t="s">
        <v>14</v>
      </c>
      <c r="C194" t="s">
        <v>15</v>
      </c>
      <c r="D194" t="s">
        <v>11</v>
      </c>
      <c r="E194">
        <v>4</v>
      </c>
      <c r="F194" s="3">
        <v>65856</v>
      </c>
      <c r="G194" s="3">
        <v>36879</v>
      </c>
      <c r="H194" t="s">
        <v>16</v>
      </c>
      <c r="I194" t="s">
        <v>13</v>
      </c>
      <c r="J194" t="b">
        <f>OR(D194="Coupé",F194&gt;=70000)</f>
        <v>0</v>
      </c>
    </row>
    <row r="195" spans="1:10" x14ac:dyDescent="0.2">
      <c r="A195" s="2" t="s">
        <v>119</v>
      </c>
      <c r="B195" t="s">
        <v>9</v>
      </c>
      <c r="C195" t="s">
        <v>10</v>
      </c>
      <c r="D195" t="s">
        <v>11</v>
      </c>
      <c r="E195">
        <v>4</v>
      </c>
      <c r="F195" s="3">
        <v>40297</v>
      </c>
      <c r="G195" s="3">
        <v>16119</v>
      </c>
      <c r="H195" t="s">
        <v>12</v>
      </c>
      <c r="I195" t="s">
        <v>13</v>
      </c>
      <c r="J195" t="b">
        <f>OR(D195="Coupé",F195&gt;=70000)</f>
        <v>0</v>
      </c>
    </row>
    <row r="196" spans="1:10" x14ac:dyDescent="0.2">
      <c r="A196" s="2" t="s">
        <v>119</v>
      </c>
      <c r="B196" t="s">
        <v>9</v>
      </c>
      <c r="C196" t="s">
        <v>38</v>
      </c>
      <c r="D196" t="s">
        <v>39</v>
      </c>
      <c r="E196">
        <v>4</v>
      </c>
      <c r="F196" s="3">
        <v>35410</v>
      </c>
      <c r="G196" s="3">
        <v>19830</v>
      </c>
      <c r="H196" t="s">
        <v>12</v>
      </c>
      <c r="I196" t="s">
        <v>26</v>
      </c>
      <c r="J196" t="b">
        <f>OR(D196="Coupé",F196&gt;=70000)</f>
        <v>0</v>
      </c>
    </row>
    <row r="197" spans="1:10" x14ac:dyDescent="0.2">
      <c r="A197" s="2" t="s">
        <v>114</v>
      </c>
      <c r="B197" t="s">
        <v>14</v>
      </c>
      <c r="C197" t="s">
        <v>33</v>
      </c>
      <c r="D197" t="s">
        <v>34</v>
      </c>
      <c r="E197">
        <v>1</v>
      </c>
      <c r="F197" s="3">
        <v>77963</v>
      </c>
      <c r="G197" s="3">
        <v>7017</v>
      </c>
      <c r="H197" t="s">
        <v>58</v>
      </c>
      <c r="I197" t="s">
        <v>17</v>
      </c>
      <c r="J197" t="b">
        <f>OR(D197="Coupé",F197&gt;=70000)</f>
        <v>1</v>
      </c>
    </row>
    <row r="198" spans="1:10" x14ac:dyDescent="0.2">
      <c r="A198" s="2" t="s">
        <v>120</v>
      </c>
      <c r="B198" t="s">
        <v>14</v>
      </c>
      <c r="C198" t="s">
        <v>53</v>
      </c>
      <c r="D198" t="s">
        <v>54</v>
      </c>
      <c r="E198">
        <v>2</v>
      </c>
      <c r="F198" s="3">
        <v>49101</v>
      </c>
      <c r="G198" s="3">
        <v>14730</v>
      </c>
      <c r="H198" t="s">
        <v>25</v>
      </c>
      <c r="I198" t="s">
        <v>17</v>
      </c>
      <c r="J198" t="b">
        <f t="shared" ref="J195:J201" si="1">OR(D198="Coupé",F198&gt;=70000)</f>
        <v>0</v>
      </c>
    </row>
    <row r="199" spans="1:10" x14ac:dyDescent="0.2">
      <c r="A199" s="2" t="s">
        <v>121</v>
      </c>
      <c r="B199" t="s">
        <v>9</v>
      </c>
      <c r="C199" t="s">
        <v>47</v>
      </c>
      <c r="D199" t="s">
        <v>11</v>
      </c>
      <c r="E199">
        <v>4</v>
      </c>
      <c r="F199" s="3">
        <v>35886</v>
      </c>
      <c r="G199" s="3">
        <v>18661</v>
      </c>
      <c r="H199" t="s">
        <v>58</v>
      </c>
      <c r="I199" t="s">
        <v>26</v>
      </c>
      <c r="J199" t="b">
        <f t="shared" si="1"/>
        <v>0</v>
      </c>
    </row>
    <row r="200" spans="1:10" x14ac:dyDescent="0.2">
      <c r="A200" s="2" t="s">
        <v>122</v>
      </c>
      <c r="B200" t="s">
        <v>18</v>
      </c>
      <c r="C200" t="s">
        <v>19</v>
      </c>
      <c r="D200" t="s">
        <v>20</v>
      </c>
      <c r="E200">
        <v>4</v>
      </c>
      <c r="F200" s="3">
        <v>29337</v>
      </c>
      <c r="G200" s="3">
        <v>17602</v>
      </c>
      <c r="H200" t="s">
        <v>21</v>
      </c>
      <c r="I200" t="s">
        <v>28</v>
      </c>
      <c r="J200" t="b">
        <f t="shared" si="1"/>
        <v>0</v>
      </c>
    </row>
    <row r="201" spans="1:10" x14ac:dyDescent="0.2">
      <c r="A201" s="2" t="s">
        <v>122</v>
      </c>
      <c r="B201" t="s">
        <v>9</v>
      </c>
      <c r="C201" t="s">
        <v>10</v>
      </c>
      <c r="D201" t="s">
        <v>11</v>
      </c>
      <c r="E201">
        <v>2</v>
      </c>
      <c r="F201" s="3">
        <v>40297</v>
      </c>
      <c r="G201" s="3">
        <v>12089</v>
      </c>
      <c r="H201" t="s">
        <v>41</v>
      </c>
      <c r="I201" t="s">
        <v>26</v>
      </c>
      <c r="J201" t="b">
        <f t="shared" si="1"/>
        <v>0</v>
      </c>
    </row>
  </sheetData>
  <conditionalFormatting sqref="A2:J201">
    <cfRule type="expression" dxfId="1" priority="1">
      <formula>$F2&gt;80000</formula>
    </cfRule>
  </conditionalFormatting>
  <conditionalFormatting sqref="A2:J201">
    <cfRule type="expression" dxfId="0" priority="2">
      <formula>$E2&gt;=5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AD5E-535C-994F-82D8-FC68EA2A8C8A}">
  <dimension ref="A1:C21"/>
  <sheetViews>
    <sheetView workbookViewId="0">
      <selection activeCell="B29" sqref="B29"/>
    </sheetView>
  </sheetViews>
  <sheetFormatPr baseColWidth="10" defaultRowHeight="16" x14ac:dyDescent="0.2"/>
  <cols>
    <col min="1" max="1" width="33.33203125" customWidth="1"/>
    <col min="2" max="3" width="21.6640625" customWidth="1"/>
  </cols>
  <sheetData>
    <row r="1" spans="1:3" ht="22" x14ac:dyDescent="0.3">
      <c r="A1" s="4" t="s">
        <v>125</v>
      </c>
    </row>
    <row r="2" spans="1:3" x14ac:dyDescent="0.2">
      <c r="A2" s="5" t="s">
        <v>126</v>
      </c>
    </row>
    <row r="4" spans="1:3" x14ac:dyDescent="0.2">
      <c r="A4" s="6" t="s">
        <v>127</v>
      </c>
    </row>
    <row r="5" spans="1:3" x14ac:dyDescent="0.2">
      <c r="A5" s="1" t="s">
        <v>6</v>
      </c>
      <c r="B5" s="1" t="s">
        <v>5</v>
      </c>
      <c r="C5" s="1" t="s">
        <v>130</v>
      </c>
    </row>
    <row r="6" spans="1:3" x14ac:dyDescent="0.2">
      <c r="A6" t="s">
        <v>27</v>
      </c>
      <c r="B6" s="3">
        <f>SUMIFS('Q1 Sales Data'!G:G,'Q1 Sales Data'!H:H,A6)</f>
        <v>640316</v>
      </c>
      <c r="C6">
        <f>COUNTIF('Q1 Sales Data'!H:H,A6)</f>
        <v>32</v>
      </c>
    </row>
    <row r="7" spans="1:3" x14ac:dyDescent="0.2">
      <c r="A7" t="s">
        <v>16</v>
      </c>
      <c r="B7" s="3">
        <f>SUMIFS('Q1 Sales Data'!G:G,'Q1 Sales Data'!H:H,A7)</f>
        <v>403019</v>
      </c>
      <c r="C7">
        <f>COUNTIF('Q1 Sales Data'!H:H,A7)</f>
        <v>19</v>
      </c>
    </row>
    <row r="8" spans="1:3" x14ac:dyDescent="0.2">
      <c r="A8" t="s">
        <v>12</v>
      </c>
      <c r="B8" s="3">
        <f>SUMIFS('Q1 Sales Data'!G:G,'Q1 Sales Data'!H:H,A8)</f>
        <v>495279</v>
      </c>
      <c r="C8">
        <f>COUNTIF('Q1 Sales Data'!H:H,A8)</f>
        <v>25</v>
      </c>
    </row>
    <row r="10" spans="1:3" x14ac:dyDescent="0.2">
      <c r="A10" s="7" t="s">
        <v>128</v>
      </c>
    </row>
    <row r="11" spans="1:3" x14ac:dyDescent="0.2">
      <c r="A11" s="8" t="s">
        <v>129</v>
      </c>
      <c r="B11" s="8" t="s">
        <v>5</v>
      </c>
      <c r="C11" s="8" t="s">
        <v>3</v>
      </c>
    </row>
    <row r="12" spans="1:3" x14ac:dyDescent="0.2">
      <c r="A12" s="9">
        <v>46023</v>
      </c>
      <c r="B12" s="3" cm="1">
        <f t="array" ref="B12">SUMPRODUCT(('Q1 Sales Data'!G2:G201)*(MONTH('Q1 Sales Data'!A2:A201)=1))</f>
        <v>1411801</v>
      </c>
      <c r="C12" cm="1">
        <f t="array" ref="C12">SUMPRODUCT(('Q1 Sales Data'!E2:E201)*(MONTH('Q1 Sales Data'!A2:A201)=1))</f>
        <v>213</v>
      </c>
    </row>
    <row r="13" spans="1:3" x14ac:dyDescent="0.2">
      <c r="A13" s="9">
        <v>46054</v>
      </c>
      <c r="B13" s="3" cm="1">
        <f t="array" ref="B13">SUMPRODUCT(('Q1 Sales Data'!G2:G201)*(MONTH('Q1 Sales Data'!A2:A201)=2))</f>
        <v>1163179</v>
      </c>
      <c r="C13" cm="1">
        <f t="array" ref="C13">SUMPRODUCT(('Q1 Sales Data'!E2:E201)*(MONTH('Q1 Sales Data'!A2:A201)=2))</f>
        <v>185</v>
      </c>
    </row>
    <row r="14" spans="1:3" x14ac:dyDescent="0.2">
      <c r="A14" t="s">
        <v>131</v>
      </c>
      <c r="B14" s="3" cm="1">
        <f t="array" ref="B14">SUMPRODUCT(('Q1 Sales Data'!G2:G201)*(MONTH('Q1 Sales Data'!A2:A201)=3))</f>
        <v>994549</v>
      </c>
      <c r="C14" cm="1">
        <f t="array" ref="C14">SUMPRODUCT(('Q1 Sales Data'!E2:E201)*(MONTH('Q1 Sales Data'!A2:A201)=3))</f>
        <v>153</v>
      </c>
    </row>
    <row r="16" spans="1:3" x14ac:dyDescent="0.2">
      <c r="A16" s="10" t="s">
        <v>132</v>
      </c>
    </row>
    <row r="17" spans="1:2" x14ac:dyDescent="0.2">
      <c r="A17" s="11" t="s">
        <v>133</v>
      </c>
      <c r="B17" s="11" t="s">
        <v>134</v>
      </c>
    </row>
    <row r="18" spans="1:2" x14ac:dyDescent="0.2">
      <c r="A18" t="s">
        <v>135</v>
      </c>
      <c r="B18">
        <f>COUNTIF('Q1 Sales Data'!J:J,TRUE)</f>
        <v>47</v>
      </c>
    </row>
    <row r="19" spans="1:2" x14ac:dyDescent="0.2">
      <c r="A19" t="s">
        <v>136</v>
      </c>
      <c r="B19" s="3">
        <f>SUMIF('Q1 Sales Data'!J:J,TRUE,'Q1 Sales Data'!G:G)</f>
        <v>1218865</v>
      </c>
    </row>
    <row r="20" spans="1:2" x14ac:dyDescent="0.2">
      <c r="A20" t="s">
        <v>137</v>
      </c>
      <c r="B20" s="12">
        <f>SUMIF('Q1 Sales Data'!J:J,TRUE,'Q1 Sales Data'!G:G)/SUM('Q1 Sales Data'!G:G)</f>
        <v>0.34146381777539836</v>
      </c>
    </row>
    <row r="21" spans="1:2" x14ac:dyDescent="0.2">
      <c r="A21" t="s">
        <v>138</v>
      </c>
      <c r="B21" t="s">
        <v>139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Q1 Sales Data</vt:lpstr>
      <vt:lpstr>Stand-up Erkenntnisse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Hunger</dc:creator>
  <cp:lastModifiedBy>Miriam Hunger</cp:lastModifiedBy>
  <dcterms:created xsi:type="dcterms:W3CDTF">2026-04-17T12:55:17Z</dcterms:created>
  <dcterms:modified xsi:type="dcterms:W3CDTF">2026-04-17T13:41:41Z</dcterms:modified>
</cp:coreProperties>
</file>